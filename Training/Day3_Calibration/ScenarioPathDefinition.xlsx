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8CC3EAE3-2D70-4869-880C-20B243CE7DBC}" xr6:coauthVersionLast="47" xr6:coauthVersionMax="47" xr10:uidLastSave="{00000000-0000-0000-0000-000000000000}"/>
  <bookViews>
    <workbookView xWindow="-108" yWindow="-108" windowWidth="23256" windowHeight="13896"/>
  </bookViews>
  <sheets>
    <sheet name="Baseline" sheetId="1" r:id="rId1"/>
    <sheet name="Sheet1" sheetId="3" r:id="rId2"/>
    <sheet name="NZ" sheetId="2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<sst xmlns="http://schemas.openxmlformats.org/spreadsheetml/2006/main" count="308" uniqueCount="212">
  <si>
    <t>Baseline Path Definition Template</t>
  </si>
  <si>
    <t>Input Variable</t>
  </si>
  <si>
    <t>Year</t>
  </si>
  <si>
    <t>Total value-added growth factor</t>
  </si>
  <si>
    <t>VA share - Primary</t>
  </si>
  <si>
    <t>VA share - Fossil</t>
  </si>
  <si>
    <t>VA share - Renewables</t>
  </si>
  <si>
    <t>VA share - Secondary</t>
  </si>
  <si>
    <t>VA share - Tertiary</t>
  </si>
  <si>
    <t>Total employment growth factor</t>
  </si>
  <si>
    <t>Employment share - Primary</t>
  </si>
  <si>
    <t>Employment share - Fossil</t>
  </si>
  <si>
    <t>Employment share - Renewables</t>
  </si>
  <si>
    <t>Employment share - Secondary</t>
  </si>
  <si>
    <t>Employment share - Tertiary</t>
  </si>
  <si>
    <t>Optional block: Emissions and Fossil Paths</t>
  </si>
  <si>
    <t>Sector emissions index - Primary</t>
  </si>
  <si>
    <t>Sector emissions index - Fossil</t>
  </si>
  <si>
    <t>Sector emissions index - Renewables</t>
  </si>
  <si>
    <t>Sector emissions index - Secondary</t>
  </si>
  <si>
    <t>Sector emissions index - Tertiary</t>
  </si>
  <si>
    <t>Fossil production index</t>
  </si>
  <si>
    <t>Fossil exports index</t>
  </si>
  <si>
    <t>Optional block: Public Capital Stock</t>
  </si>
  <si>
    <t>Public capital stock index - Primary</t>
  </si>
  <si>
    <t>Public capital stock index - subsector 2 (fossil)</t>
  </si>
  <si>
    <t>Public capital stock index - subsector 3 (renewables)</t>
  </si>
  <si>
    <t>Public capital stock index - Secondary</t>
  </si>
  <si>
    <t>Public capital stock index - Tertiary</t>
  </si>
  <si>
    <t>Optional block: Target Investment Ratios</t>
  </si>
  <si>
    <t>Target investment ratio - fossil</t>
  </si>
  <si>
    <t>Target investment ratio - renewables</t>
  </si>
  <si>
    <t>Optional block: Target Investment Logicals</t>
  </si>
  <si>
    <t>Target investment logical - fossil</t>
  </si>
  <si>
    <t>Target investment logical - renewables</t>
  </si>
  <si>
    <t>Optional block: Investment Prices</t>
  </si>
  <si>
    <t>Investment price index - Primary</t>
  </si>
  <si>
    <t>Investment price index - subsector 2 (fossil)</t>
  </si>
  <si>
    <t>Investment price index - subsector 3 (renewables)</t>
  </si>
  <si>
    <t>Investment price index - Secondary</t>
  </si>
  <si>
    <t>Investment price index - Tertiary</t>
  </si>
  <si>
    <t>Optional block: Public Capital Interest Rates</t>
  </si>
  <si>
    <t>Public capital interest rate index - Primary</t>
  </si>
  <si>
    <t>Public capital interest rate index - subsector 2 (fossil)</t>
  </si>
  <si>
    <t>Public capital interest rate index - subsector 3 (renewables)</t>
  </si>
  <si>
    <t>Public capital interest rate index - Secondary</t>
  </si>
  <si>
    <t>Public capital interest rate index - Tertiary</t>
  </si>
  <si>
    <t>Optional block: Emissions Price</t>
  </si>
  <si>
    <t>Global emissions price index</t>
  </si>
  <si>
    <t>Regional emissions price index (region 1)</t>
  </si>
  <si>
    <t>Optional block: Demographics</t>
  </si>
  <si>
    <t>Labour force index (region 1)</t>
  </si>
  <si>
    <t>Non-labour force index (region 1)</t>
  </si>
  <si>
    <t>Optional block: Sector Energy Efficiency Targets</t>
  </si>
  <si>
    <t>Energy-efficiency target index - Primary</t>
  </si>
  <si>
    <t>Energy-efficiency target index - Fossil</t>
  </si>
  <si>
    <t>Energy-efficiency target index - Renewables</t>
  </si>
  <si>
    <t>Energy-efficiency target index - Secondary</t>
  </si>
  <si>
    <t>Energy-efficiency target index - Tertiary</t>
  </si>
  <si>
    <t>Optional block: Rooftop Solar (PV)</t>
  </si>
  <si>
    <t>Rooftop PV investment index</t>
  </si>
  <si>
    <t>Rooftop PV production index</t>
  </si>
  <si>
    <t>Import Key</t>
  </si>
  <si>
    <t>Conversion Rule</t>
  </si>
  <si>
    <t>Notes</t>
  </si>
  <si>
    <t>gva_growth_total</t>
  </si>
  <si>
    <t>direct (growth-factor level)</t>
  </si>
  <si>
    <t>va_share_1</t>
  </si>
  <si>
    <t>direct (share level)</t>
  </si>
  <si>
    <t>va_share_2</t>
  </si>
  <si>
    <t>va_share_3</t>
  </si>
  <si>
    <t>va_share_4</t>
  </si>
  <si>
    <t>va_share_5</t>
  </si>
  <si>
    <t>emp_growth_total</t>
  </si>
  <si>
    <t>emp_share_1</t>
  </si>
  <si>
    <t>emp_share_2</t>
  </si>
  <si>
    <t>emp_share_3</t>
  </si>
  <si>
    <t>emp_share_4</t>
  </si>
  <si>
    <t>emp_share_5</t>
  </si>
  <si>
    <t>exo_E_1_1</t>
  </si>
  <si>
    <t>log(index/index(1))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</si>
  <si>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</si>
  <si>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</si>
  <si>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</si>
  <si>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</si>
  <si>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</si>
  <si>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</si>
  <si>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</si>
  <si>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</si>
  <si>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</si>
  <si>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</si>
  <si>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</si>
  <si>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Section header</t>
  </si>
  <si>
    <t>exo_lTargetInv_2_1</t>
  </si>
  <si>
    <t>1 if value&gt;0 else 0</t>
  </si>
  <si>
    <t>exo_lTargetInv_3_1</t>
  </si>
  <si>
    <t>exo_P_K_1_1</t>
  </si>
  <si>
    <t>additive (index-index(1))</t>
  </si>
  <si>
    <t>exo_P_K_2_1</t>
  </si>
  <si>
    <t>exo_P_K_3_1</t>
  </si>
  <si>
    <t>exo_P_K_4_1</t>
  </si>
  <si>
    <t>exo_P_K_5_1</t>
  </si>
  <si>
    <t>exo_r_G_1_1</t>
  </si>
  <si>
    <t>direct (level)</t>
  </si>
  <si>
    <t>exo_r_G_2_1</t>
  </si>
  <si>
    <t>exo_r_G_3_1</t>
  </si>
  <si>
    <t>exo_r_G_4_1</t>
  </si>
  <si>
    <t>exo_r_G_5_1</t>
  </si>
  <si>
    <t>exo_PE</t>
  </si>
  <si>
    <t>exo_PE_1</t>
  </si>
  <si>
    <t>exo_LF_1</t>
  </si>
  <si>
    <t>exo_NLF_1</t>
  </si>
  <si>
    <t>exo_etaKA_1_1</t>
  </si>
  <si>
    <t>log(index)</t>
  </si>
  <si>
    <t>exo_etaKA_2_1</t>
  </si>
  <si>
    <t>exo_etaKA_3_1</t>
  </si>
  <si>
    <t>exo_etaKA_4_1</t>
  </si>
  <si>
    <t>exo_etaKA_5_1</t>
  </si>
  <si>
    <t>exo_PV_1</t>
  </si>
  <si>
    <t>NZ Scenario Path Definition</t>
  </si>
  <si>
    <t>Aggregate emissions index</t>
  </si>
  <si>
    <t>Optional block: Carbon Policy</t>
  </si>
  <si>
    <t>Cap-and-trade active (1=on, 0=off)</t>
  </si>
  <si>
    <t>Optional block: Carbon Price</t>
  </si>
  <si>
    <t>Emissions price index</t>
  </si>
  <si>
    <t>EE target index - Primary</t>
  </si>
  <si>
    <t>EE target index - Fossil</t>
  </si>
  <si>
    <t>EE target index - Renewables</t>
  </si>
  <si>
    <t>EE target index - Secondary</t>
  </si>
  <si>
    <t>EE target index - Tertiary</t>
  </si>
  <si>
    <t>Optional block: Fossil Paths</t>
  </si>
  <si>
    <t>exo_E_1</t>
  </si>
  <si>
    <t>exo_CapTrade_1</t>
  </si>
  <si>
    <t>direct (0/1 flag)</t>
  </si>
  <si>
    <t>exo_AI_1_1_2</t>
  </si>
  <si>
    <t>exo_AI_2_1_2</t>
  </si>
  <si>
    <t>exo_AI_3_1_2</t>
  </si>
  <si>
    <t>exo_AI_4_1_2</t>
  </si>
  <si>
    <t>exo_AI_5_1_2</t>
  </si>
  <si>
    <t>Optional block: FDI Capital Stock</t>
  </si>
  <si>
    <t>FDI investment share - Renewables</t>
  </si>
  <si>
    <t>exo_sFDIShare_3_1</t>
  </si>
  <si>
    <t>exo_lFDIShare_3_1</t>
  </si>
  <si>
    <t>FDI investment share activator - Renewables</t>
  </si>
  <si>
    <t>exo_r_FDI_3_1</t>
  </si>
  <si>
    <t>FDI interest rate - Renewables</t>
  </si>
  <si>
    <t>exo_PV_1_2</t>
  </si>
  <si>
    <t>exo_PVEff_1_2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</si>
  <si>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</si>
  <si>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</si>
  <si>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</si>
  <si>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</si>
  <si>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</si>
  <si>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</si>
  <si>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</si>
  <si>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</si>
  <si>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</si>
  <si>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</si>
  <si>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</si>
  <si>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</si>
  <si>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</si>
  <si>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</si>
  <si>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</si>
  <si>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</si>
  <si>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</si>
  <si>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</si>
  <si>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</si>
  <si>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</si>
  <si>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</si>
  <si>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</si>
  <si>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</si>
  <si>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</si>
  <si>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</si>
  <si>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</si>
  <si>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</si>
  <si>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</si>
  <si>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</si>
  <si>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</si>
  <si>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</si>
  <si>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</si>
  <si>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</si>
  <si>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</si>
  <si>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</si>
  <si>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</si>
  <si>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</si>
  <si>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</si>
  <si>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</si>
  <si>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</si>
  <si>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</si>
  <si>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</si>
  <si>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</si>
  <si>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</si>
  <si>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</si>
  <si>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</si>
  <si>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</si>
  <si>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</si>
  <si>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</si>
  <si>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</si>
  <si>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</si>
  <si>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</si>
  <si>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</si>
  <si>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</si>
  <si>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</si>
  <si>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</si>
  <si>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</si>
  <si>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</si>
  <si>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</si>
  <si>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</si>
  <si>
    <t>exo_targetIY_2_1</t>
  </si>
  <si>
    <t>direct (share of GDP from PDP8 investment + maintenance)</t>
  </si>
  <si>
    <t>exo_targetIY_3_1</t>
  </si>
  <si>
    <t>direct (share of GDP from PDP8 investment + maintenance)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</si>
</sst>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1" fillId="2" borderId="0" xfId="0" applyFont="true" applyFill="true"/>
    <xf numFmtId="0" fontId="1" fillId="3" borderId="0" xfId="0" applyFont="true" applyFill="true"/>
    <xf numFmtId="0" fontId="1" fillId="4" borderId="0" xfId="0" applyFont="true" applyFill="true"/>
    <xf numFmtId="0" fontId="0" fillId="5" borderId="0" xfId="0" applyFill="true"/>
    <xf numFmtId="0" fontId="0" fillId="0" borderId="0" xfId="0" applyAlignment="true">
      <alignment horizontal="center"/>
    </xf>
    <xf numFmtId="0" fontId="1" fillId="2" borderId="0" xfId="0" applyFont="true" applyFill="true" applyAlignment="true">
      <alignment horizontal="center"/>
    </xf>
    <xf numFmtId="0" fontId="1" fillId="0" borderId="0" xfId="0" applyFont="true" applyAlignment="true">
      <alignment horizontal="center"/>
    </xf>
    <xf numFmtId="0" fontId="0" fillId="6" borderId="0" xfId="0" applyFill="true" applyAlignment="true">
      <alignment horizontal="center"/>
    </xf>
    <xf numFmtId="0" fontId="1" fillId="3" borderId="0" xfId="0" applyFont="true" applyFill="true" applyAlignment="true">
      <alignment horizontal="center"/>
    </xf>
    <xf numFmtId="0" fontId="3" fillId="6" borderId="0" xfId="0" applyFont="true" applyFill="true" applyAlignment="true">
      <alignment horizontal="center"/>
    </xf>
    <xf numFmtId="164" fontId="0" fillId="6" borderId="0" xfId="0" applyNumberFormat="true" applyFill="true" applyAlignment="true">
      <alignment horizontal="center"/>
    </xf>
    <xf numFmtId="0" fontId="3" fillId="5" borderId="0" xfId="0" applyFont="true" applyFill="true"/>
    <xf numFmtId="0" fontId="2" fillId="0" borderId="0" xfId="0" applyFont="true"/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true" zoomScale="85" zoomScaleNormal="85" workbookViewId="0">
      <pane xSplit="4" ySplit="9" topLeftCell="Z67" activePane="bottomRight" state="frozenSplit"/>
      <selection pane="topRight" activeCell="E1" sqref="E1"/>
      <selection pane="bottomLeft" activeCell="A10" sqref="A10"/>
      <selection pane="bottomRight" activeCell="AC83" sqref="AC83"/>
    </sheetView>
  </sheetViews>
  <sheetFormatPr defaultRowHeight="14.4" x14ac:dyDescent="0.3"/>
  <cols>
    <col min="1" max="1" width="52.6640625" customWidth="true"/>
    <col min="2" max="2" width="17.26953125" customWidth="true"/>
    <col min="3" max="3" width="48.93359375" customWidth="true"/>
    <col min="4" max="4" width="38.6640625" customWidth="true"/>
    <col min="5" max="5" width="14.7109375" style="6" customWidth="true"/>
    <col min="7" max="7" width="14.37890625" style="6" customWidth="true"/>
    <col min="14" max="14" width="14.7109375" style="6" customWidth="true"/>
    <col min="17" max="17" width="14.37890625" style="6" customWidth="true"/>
    <col min="6" max="6" width="14.7109375" style="6" customWidth="true"/>
    <col min="8" max="8" width="14.37890625" style="6" customWidth="true"/>
    <col min="9" max="9" width="14.37890625" style="6" customWidth="true"/>
    <col min="10" max="10" width="14.37890625" style="6" customWidth="true"/>
    <col min="11" max="11" width="14.37890625" style="6" customWidth="true"/>
    <col min="12" max="12" width="14.37890625" style="6" customWidth="true"/>
    <col min="13" max="13" width="14.37890625" style="6" customWidth="true"/>
    <col min="15" max="15" width="14.7109375" style="6" customWidth="true"/>
    <col min="16" max="16" width="14.7109375" style="6" customWidth="true"/>
    <col min="18" max="18" width="14.37890625" style="6" customWidth="true"/>
    <col min="19" max="19" width="14.37890625" style="6" customWidth="true"/>
    <col min="20" max="20" width="14.37890625" style="6" customWidth="true"/>
    <col min="21" max="21" width="14.37890625" style="6" customWidth="true"/>
    <col min="22" max="22" width="14.37890625" style="6" customWidth="true"/>
    <col min="23" max="23" width="14.37890625" style="6" customWidth="true"/>
    <col min="24" max="24" width="14.37890625" style="6" customWidth="true"/>
    <col min="25" max="25" width="14.37890625" style="6" customWidth="true"/>
    <col min="26" max="26" width="14.37890625" style="6" customWidth="true"/>
    <col min="27" max="27" width="14.37890625" style="6" customWidth="true"/>
    <col min="28" max="28" width="14.37890625" style="6" customWidth="true"/>
    <col min="29" max="29" width="14.37890625" style="6" customWidth="true"/>
    <col min="30" max="30" width="14.37890625" style="6" customWidth="true"/>
  </cols>
  <sheetData>
    <row r="1" ht="18" x14ac:dyDescent="0.35">
      <c r="A1" s="14" t="s">
        <v>0</v>
      </c>
      <c r="B1" s="15"/>
      <c r="C1" s="15"/>
      <c r="D1" s="15"/>
    </row>
    <row r="7" x14ac:dyDescent="0.3">
      <c r="E7" s="6">
        <f>PRODUCT(E10:AD10)</f>
        <v>7.9163131244077762</v>
      </c>
    </row>
    <row r="8" x14ac:dyDescent="0.3">
      <c r="A8" s="2" t="s">
        <v>1</v>
      </c>
      <c r="B8" s="2" t="s">
        <v>62</v>
      </c>
      <c r="C8" s="2" t="s">
        <v>63</v>
      </c>
      <c r="D8" s="2" t="s">
        <v>64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x14ac:dyDescent="0.3">
      <c r="D9" s="1" t="s">
        <v>2</v>
      </c>
      <c r="E9" s="8">
        <v>2025</v>
      </c>
      <c r="F9" s="8">
        <v>2026</v>
      </c>
      <c r="G9" s="8">
        <v>2027</v>
      </c>
      <c r="H9" s="8">
        <v>2028</v>
      </c>
      <c r="I9" s="8">
        <v>2029</v>
      </c>
      <c r="J9" s="8">
        <v>2030</v>
      </c>
      <c r="K9" s="8">
        <v>2031</v>
      </c>
      <c r="L9" s="8">
        <v>2032</v>
      </c>
      <c r="M9" s="8">
        <v>2033</v>
      </c>
      <c r="N9" s="8">
        <v>2034</v>
      </c>
      <c r="O9" s="8">
        <v>2035</v>
      </c>
      <c r="P9" s="8">
        <v>2036</v>
      </c>
      <c r="Q9" s="8">
        <v>2037</v>
      </c>
      <c r="R9" s="8">
        <v>2038</v>
      </c>
      <c r="S9" s="8">
        <v>2039</v>
      </c>
      <c r="T9" s="8">
        <v>2040</v>
      </c>
      <c r="U9" s="8">
        <v>2041</v>
      </c>
      <c r="V9" s="8">
        <v>2042</v>
      </c>
      <c r="W9" s="8">
        <v>2043</v>
      </c>
      <c r="X9" s="8">
        <v>2044</v>
      </c>
      <c r="Y9" s="8">
        <v>2045</v>
      </c>
      <c r="Z9" s="8">
        <v>2046</v>
      </c>
      <c r="AA9" s="8">
        <v>2047</v>
      </c>
      <c r="AB9" s="8">
        <v>2048</v>
      </c>
      <c r="AC9" s="8">
        <v>2049</v>
      </c>
      <c r="AD9" s="8">
        <v>2050</v>
      </c>
    </row>
    <row r="10" x14ac:dyDescent="0.3">
      <c r="A10" s="4" t="s">
        <v>3</v>
      </c>
      <c r="B10" s="4" t="s">
        <v>65</v>
      </c>
      <c r="C10" s="4" t="s">
        <v>66</v>
      </c>
      <c r="D10" s="4"/>
      <c r="E10" s="11">
        <v>1.1000000000000001</v>
      </c>
      <c r="F10" s="11">
        <v>1.1000000000000001</v>
      </c>
      <c r="G10" s="11">
        <v>1.1000000000000001</v>
      </c>
      <c r="H10" s="11">
        <v>1.1000000000000001</v>
      </c>
      <c r="I10" s="11">
        <v>1.1000000000000001</v>
      </c>
      <c r="J10" s="11">
        <v>1.1000000000000001</v>
      </c>
      <c r="K10" s="12">
        <f>(J10-1)*0.95+1</f>
        <v>1.0950000000000002</v>
      </c>
      <c r="L10" s="12">
        <f t="shared" ref="L10:O10" si="0">(K10-1)*0.95+1</f>
        <v>1.0902500000000002</v>
      </c>
      <c r="M10" s="12">
        <f t="shared" si="0"/>
        <v>1.0857375000000002</v>
      </c>
      <c r="N10" s="12">
        <f t="shared" si="0"/>
        <v>1.0814506250000002</v>
      </c>
      <c r="O10" s="12">
        <f t="shared" si="0"/>
        <v>1.0773780937500002</v>
      </c>
      <c r="P10" s="12">
        <v>1.075</v>
      </c>
      <c r="Q10" s="12">
        <v>1.075</v>
      </c>
      <c r="R10" s="12">
        <v>1.075</v>
      </c>
      <c r="S10" s="12">
        <v>1.075</v>
      </c>
      <c r="T10" s="12">
        <v>1.075</v>
      </c>
      <c r="U10" s="12">
        <v>1.075</v>
      </c>
      <c r="V10" s="12">
        <v>1.075</v>
      </c>
      <c r="W10" s="12">
        <v>1.075</v>
      </c>
      <c r="X10" s="12">
        <v>1.075</v>
      </c>
      <c r="Y10" s="12">
        <v>1.075</v>
      </c>
      <c r="Z10" s="12">
        <v>1.075</v>
      </c>
      <c r="AA10" s="12">
        <v>1.075</v>
      </c>
      <c r="AB10" s="12">
        <v>1.075</v>
      </c>
      <c r="AC10" s="12">
        <v>1.075</v>
      </c>
      <c r="AD10" s="12">
        <v>1.075</v>
      </c>
    </row>
    <row r="11" x14ac:dyDescent="0.3">
      <c r="D11" s="3" t="s">
        <v>2</v>
      </c>
      <c r="E11" s="10">
        <v>2025</v>
      </c>
      <c r="F11" s="10">
        <v>2026</v>
      </c>
      <c r="G11" s="10">
        <v>2027</v>
      </c>
      <c r="H11" s="10">
        <v>2028</v>
      </c>
      <c r="I11" s="10">
        <v>2029</v>
      </c>
      <c r="J11" s="10">
        <v>2030</v>
      </c>
      <c r="K11" s="10">
        <v>2031</v>
      </c>
      <c r="L11" s="10">
        <v>2032</v>
      </c>
      <c r="M11" s="10">
        <v>2033</v>
      </c>
      <c r="N11" s="10">
        <v>2034</v>
      </c>
      <c r="O11" s="10">
        <v>2035</v>
      </c>
      <c r="P11" s="10">
        <v>2036</v>
      </c>
      <c r="Q11" s="10">
        <v>2037</v>
      </c>
      <c r="R11" s="10">
        <v>2038</v>
      </c>
      <c r="S11" s="10">
        <v>2039</v>
      </c>
      <c r="T11" s="10">
        <v>2040</v>
      </c>
      <c r="U11" s="10">
        <v>2041</v>
      </c>
      <c r="V11" s="10">
        <v>2042</v>
      </c>
      <c r="W11" s="10">
        <v>2043</v>
      </c>
      <c r="X11" s="10">
        <v>2044</v>
      </c>
      <c r="Y11" s="10">
        <v>2045</v>
      </c>
      <c r="Z11" s="10">
        <v>2046</v>
      </c>
      <c r="AA11" s="10">
        <v>2047</v>
      </c>
      <c r="AB11" s="10">
        <v>2048</v>
      </c>
      <c r="AC11" s="10">
        <v>2049</v>
      </c>
      <c r="AD11" s="10">
        <v>2050</v>
      </c>
    </row>
    <row r="12" x14ac:dyDescent="0.3">
      <c r="A12" t="s">
        <v>4</v>
      </c>
      <c r="B12" t="s">
        <v>67</v>
      </c>
      <c r="C12" t="s">
        <v>68</v>
      </c>
      <c r="E12" s="9">
        <v>0.12803192661464841</v>
      </c>
      <c r="F12" s="9">
        <f>(4*E12+1*J12)/5</f>
        <v>0.12242554129171872</v>
      </c>
      <c r="G12" s="9">
        <f>(3*E12+2*J12)/5</f>
        <v>0.11681915596878904</v>
      </c>
      <c r="H12" s="9">
        <f>(2*E12+3*J12)/5</f>
        <v>0.11121277064585937</v>
      </c>
      <c r="I12" s="9">
        <f>(1*E12+4*J12)/5</f>
        <v>0.10560638532292969</v>
      </c>
      <c r="J12" s="9">
        <v>0.1</v>
      </c>
      <c r="K12" s="9">
        <f>(4*J12+1*O12)/5</f>
        <v>9.6000000000000002E-2</v>
      </c>
      <c r="L12" s="9">
        <f>(3*J12+2*O12)/5</f>
        <v>9.2000000000000012E-2</v>
      </c>
      <c r="M12" s="9">
        <f>(2*J12+3*O12)/5</f>
        <v>8.7999999999999995E-2</v>
      </c>
      <c r="N12" s="9">
        <f>(1*J12+4*O12)/5</f>
        <v>8.4000000000000005E-2</v>
      </c>
      <c r="O12" s="9">
        <v>0.08</v>
      </c>
      <c r="P12" s="9">
        <f>(4*O12+1*T12)/5</f>
        <v>7.5999999999999998E-2</v>
      </c>
      <c r="Q12" s="9">
        <f>(3*O12+2*T12)/5</f>
        <v>7.1999999999999995E-2</v>
      </c>
      <c r="R12" s="9">
        <f>(2*O12+3*T12)/5</f>
        <v>6.7999999999999991E-2</v>
      </c>
      <c r="S12" s="9">
        <f>(1*O12+4*T12)/5</f>
        <v>6.4000000000000001E-2</v>
      </c>
      <c r="T12" s="9">
        <v>0.06</v>
      </c>
      <c r="U12" s="9">
        <f>(4*T12+1*Y12)/5</f>
        <v>5.5999999999999994E-2</v>
      </c>
      <c r="V12" s="9">
        <f>(3*T12+2*Y12)/5</f>
        <v>5.2000000000000005E-2</v>
      </c>
      <c r="W12" s="9">
        <f>(2*T12+3*Y12)/5</f>
        <v>4.8000000000000001E-2</v>
      </c>
      <c r="X12" s="9">
        <f>(1*T12+4*Y12)/5</f>
        <v>4.3999999999999997E-2</v>
      </c>
      <c r="Y12" s="9">
        <v>0.04</v>
      </c>
      <c r="Z12" s="9">
        <f>(4*Y12+1*AD12)/5</f>
        <v>3.5999999999999997E-2</v>
      </c>
      <c r="AA12" s="9">
        <f>(3*Y12+2*AD12)/5</f>
        <v>3.2000000000000001E-2</v>
      </c>
      <c r="AB12" s="9">
        <f>(2*Y12+3*AD12)/5</f>
        <v>2.8000000000000004E-2</v>
      </c>
      <c r="AC12" s="9">
        <f>(1*Y12+4*AD12)/5</f>
        <v>2.4E-2</v>
      </c>
      <c r="AD12" s="9">
        <v>0.02</v>
      </c>
    </row>
    <row r="13" x14ac:dyDescent="0.3">
      <c r="A13" t="s">
        <v>5</v>
      </c>
      <c r="B13" t="s">
        <v>69</v>
      </c>
      <c r="C13" t="s">
        <v>68</v>
      </c>
      <c r="E13" s="9">
        <v>5.4360093054356788E-2</v>
      </c>
      <c r="F13" s="9">
        <f>(4*E13+1*J13)/5</f>
        <v>5.1488074443485431E-2</v>
      </c>
      <c r="G13" s="9">
        <f>(3*E13+2*J13)/5</f>
        <v>4.8616055832614066E-2</v>
      </c>
      <c r="H13" s="9">
        <f>(2*E13+3*J13)/5</f>
        <v>4.5744037221742716E-2</v>
      </c>
      <c r="I13" s="9">
        <f>(1*E13+4*J13)/5</f>
        <v>4.2872018610871358E-2</v>
      </c>
      <c r="J13" s="9">
        <v>0.04</v>
      </c>
      <c r="K13" s="9">
        <f>(4*J13+1*O13)/5</f>
        <v>3.5999999999999997E-2</v>
      </c>
      <c r="L13" s="9">
        <f>(3*J13+2*O13)/5</f>
        <v>3.2000000000000001E-2</v>
      </c>
      <c r="M13" s="9">
        <f>(2*J13+3*O13)/5</f>
        <v>2.8000000000000004E-2</v>
      </c>
      <c r="N13" s="9">
        <f>(1*J13+4*O13)/5</f>
        <v>2.4E-2</v>
      </c>
      <c r="O13" s="9">
        <v>0.02</v>
      </c>
      <c r="P13" s="9">
        <f>(4*O13+1*T13)/5</f>
        <v>1.8499999999999999E-2</v>
      </c>
      <c r="Q13" s="9">
        <f>(3*O13+2*T13)/5</f>
        <v>1.6999999999999998E-2</v>
      </c>
      <c r="R13" s="9">
        <f>(2*O13+3*T13)/5</f>
        <v>1.5500000000000003E-2</v>
      </c>
      <c r="S13" s="9">
        <f>(1*O13+4*T13)/5</f>
        <v>1.4000000000000002E-2</v>
      </c>
      <c r="T13" s="9">
        <v>1.2500000000000001E-2</v>
      </c>
      <c r="U13" s="9">
        <f>(4*T13+1*Y13)/5</f>
        <v>1.225E-2</v>
      </c>
      <c r="V13" s="9">
        <f>(3*T13+2*Y13)/5</f>
        <v>1.2E-2</v>
      </c>
      <c r="W13" s="9">
        <f>(2*T13+3*Y13)/5</f>
        <v>1.175E-2</v>
      </c>
      <c r="X13" s="9">
        <f>(1*T13+4*Y13)/5</f>
        <v>1.15E-2</v>
      </c>
      <c r="Y13" s="9">
        <v>1.125E-2</v>
      </c>
      <c r="Z13" s="9">
        <f>(4*Y13+1*AD13)/5</f>
        <v>1.0999999999999999E-2</v>
      </c>
      <c r="AA13" s="9">
        <f>(3*Y13+2*AD13)/5</f>
        <v>1.0750000000000001E-2</v>
      </c>
      <c r="AB13" s="9">
        <f>(2*Y13+3*AD13)/5</f>
        <v>1.0499999999999999E-2</v>
      </c>
      <c r="AC13" s="9">
        <f>(1*Y13+4*AD13)/5</f>
        <v>1.025E-2</v>
      </c>
      <c r="AD13" s="9">
        <v>0.01</v>
      </c>
    </row>
    <row r="14" x14ac:dyDescent="0.3">
      <c r="A14" t="s">
        <v>6</v>
      </c>
      <c r="B14" t="s">
        <v>70</v>
      </c>
      <c r="C14" t="s">
        <v>68</v>
      </c>
      <c r="E14" s="9">
        <v>9.7033459674589605E-3</v>
      </c>
      <c r="F14" s="9">
        <f>(4*E14+1*J14)/5</f>
        <v>1.1262676773967169E-2</v>
      </c>
      <c r="G14" s="9">
        <f>(3*E14+2*J14)/5</f>
        <v>1.2822007580475376E-2</v>
      </c>
      <c r="H14" s="9">
        <f>(2*E14+3*J14)/5</f>
        <v>1.4381338386983586E-2</v>
      </c>
      <c r="I14" s="9">
        <f>(1*E14+4*J14)/5</f>
        <v>1.5940669193491793E-2</v>
      </c>
      <c r="J14" s="9">
        <v>1.7500000000000002E-2</v>
      </c>
      <c r="K14" s="9">
        <f>(4*J14+1*O14)/5</f>
        <v>1.9E-2</v>
      </c>
      <c r="L14" s="9">
        <f>(3*J14+2*O14)/5</f>
        <v>2.0500000000000001E-2</v>
      </c>
      <c r="M14" s="9">
        <f>(2*J14+3*O14)/5</f>
        <v>2.2000000000000002E-2</v>
      </c>
      <c r="N14" s="9">
        <f>(1*J14+4*O14)/5</f>
        <v>2.35E-2</v>
      </c>
      <c r="O14" s="9">
        <v>2.5000000000000001E-2</v>
      </c>
      <c r="P14" s="9">
        <f>(4*O14+1*T14)/5</f>
        <v>2.5500000000000002E-2</v>
      </c>
      <c r="Q14" s="9">
        <f>(3*O14+2*T14)/5</f>
        <v>2.6000000000000002E-2</v>
      </c>
      <c r="R14" s="9">
        <f>(2*O14+3*T14)/5</f>
        <v>2.6500000000000003E-2</v>
      </c>
      <c r="S14" s="9">
        <f>(1*O14+4*T14)/5</f>
        <v>2.7000000000000003E-2</v>
      </c>
      <c r="T14" s="9">
        <v>2.75E-2</v>
      </c>
      <c r="U14" s="9">
        <f>(4*T14+1*Y14)/5</f>
        <v>2.7800000000000002E-2</v>
      </c>
      <c r="V14" s="9">
        <f>(3*T14+2*Y14)/5</f>
        <v>2.8100000000000003E-2</v>
      </c>
      <c r="W14" s="9">
        <f>(2*T14+3*Y14)/5</f>
        <v>2.8400000000000002E-2</v>
      </c>
      <c r="X14" s="9">
        <f>(1*T14+4*Y14)/5</f>
        <v>2.8700000000000003E-2</v>
      </c>
      <c r="Y14" s="9">
        <v>2.9000000000000001E-2</v>
      </c>
      <c r="Z14" s="9">
        <f>(4*Y14+1*AD14)/5</f>
        <v>2.9200000000000004E-2</v>
      </c>
      <c r="AA14" s="9">
        <f>(3*Y14+2*AD14)/5</f>
        <v>2.9400000000000003E-2</v>
      </c>
      <c r="AB14" s="9">
        <f>(2*Y14+3*AD14)/5</f>
        <v>2.9599999999999998E-2</v>
      </c>
      <c r="AC14" s="9">
        <f>(1*Y14+4*AD14)/5</f>
        <v>2.98E-2</v>
      </c>
      <c r="AD14" s="11">
        <v>0.03</v>
      </c>
    </row>
    <row r="15" x14ac:dyDescent="0.3">
      <c r="A15" t="s">
        <v>7</v>
      </c>
      <c r="B15" t="s">
        <v>71</v>
      </c>
      <c r="C15" t="s">
        <v>68</v>
      </c>
      <c r="E15" s="9">
        <v>0.32825395486111358</v>
      </c>
      <c r="F15" s="9">
        <f>(4*E15+1*J15)/5</f>
        <v>0.34260316388889089</v>
      </c>
      <c r="G15" s="9">
        <f>(3*E15+2*J15)/5</f>
        <v>0.35695237291666815</v>
      </c>
      <c r="H15" s="9">
        <f>(2*E15+3*J15)/5</f>
        <v>0.37130158194444551</v>
      </c>
      <c r="I15" s="9">
        <f>(1*E15+4*J15)/5</f>
        <v>0.38565079097222277</v>
      </c>
      <c r="J15" s="9">
        <v>0.4</v>
      </c>
      <c r="K15" s="9">
        <f>(4*J15+1*O15)/5</f>
        <v>0.38565079097222277</v>
      </c>
      <c r="L15" s="9">
        <f>(3*J15+2*O15)/5</f>
        <v>0.37130158194444551</v>
      </c>
      <c r="M15" s="9">
        <f>(2*J15+3*O15)/5</f>
        <v>0.35695237291666815</v>
      </c>
      <c r="N15" s="9">
        <f>(1*J15+4*O15)/5</f>
        <v>0.34260316388889089</v>
      </c>
      <c r="O15" s="9">
        <v>0.32825395486111358</v>
      </c>
      <c r="P15" s="9">
        <f>(4*O15+1*T15)/5</f>
        <v>0.32760316388889088</v>
      </c>
      <c r="Q15" s="9">
        <f>(3*O15+2*T15)/5</f>
        <v>0.32695237291666812</v>
      </c>
      <c r="R15" s="9">
        <f>(2*O15+3*T15)/5</f>
        <v>0.32630158194444547</v>
      </c>
      <c r="S15" s="9">
        <f>(1*O15+4*T15)/5</f>
        <v>0.32565079097222271</v>
      </c>
      <c r="T15" s="9">
        <v>0.32500000000000001</v>
      </c>
      <c r="U15" s="9">
        <f>(4*T15+1*Y15)/5</f>
        <v>0.32</v>
      </c>
      <c r="V15" s="9">
        <f>(3*T15+2*Y15)/5</f>
        <v>0.31500000000000006</v>
      </c>
      <c r="W15" s="9">
        <f>(2*T15+3*Y15)/5</f>
        <v>0.30999999999999994</v>
      </c>
      <c r="X15" s="9">
        <f>(1*T15+4*Y15)/5</f>
        <v>0.30499999999999999</v>
      </c>
      <c r="Y15" s="9">
        <v>0.3</v>
      </c>
      <c r="Z15" s="9">
        <f>(4*Y15+1*AD15)/5</f>
        <v>0.28999999999999998</v>
      </c>
      <c r="AA15" s="9">
        <f>(3*Y15+2*AD15)/5</f>
        <v>0.27999999999999997</v>
      </c>
      <c r="AB15" s="9">
        <f>(2*Y15+3*AD15)/5</f>
        <v>0.27</v>
      </c>
      <c r="AC15" s="9">
        <f>(1*Y15+4*AD15)/5</f>
        <v>0.26</v>
      </c>
      <c r="AD15" s="9">
        <v>0.25</v>
      </c>
    </row>
    <row r="16" x14ac:dyDescent="0.3">
      <c r="A16" t="s">
        <v>8</v>
      </c>
      <c r="B16" t="s">
        <v>72</v>
      </c>
      <c r="C16" t="s">
        <v>68</v>
      </c>
      <c r="E16" s="9">
        <v>0.47965067950242218</v>
      </c>
      <c r="F16" s="9">
        <f t="shared" ref="F16:AD16" si="1">1-SUM(F12:F15)</f>
        <v>0.47222054360193777</v>
      </c>
      <c r="G16" s="9">
        <f t="shared" si="1"/>
        <v>0.4647904077014533</v>
      </c>
      <c r="H16" s="9">
        <f t="shared" si="1"/>
        <v>0.45736027180096883</v>
      </c>
      <c r="I16" s="9">
        <f t="shared" si="1"/>
        <v>0.44993013590048436</v>
      </c>
      <c r="J16" s="9">
        <f t="shared" si="1"/>
        <v>0.44249999999999989</v>
      </c>
      <c r="K16" s="9">
        <f t="shared" si="1"/>
        <v>0.46334920902777721</v>
      </c>
      <c r="L16" s="9">
        <f t="shared" si="1"/>
        <v>0.48419841805555452</v>
      </c>
      <c r="M16" s="9">
        <f t="shared" si="1"/>
        <v>0.50504762708333184</v>
      </c>
      <c r="N16" s="9">
        <f t="shared" si="1"/>
        <v>0.52589683611110916</v>
      </c>
      <c r="O16" s="9">
        <f t="shared" si="1"/>
        <v>0.54674604513888636</v>
      </c>
      <c r="P16" s="9">
        <f t="shared" si="1"/>
        <v>0.55239683611110912</v>
      </c>
      <c r="Q16" s="9">
        <f t="shared" si="1"/>
        <v>0.55804762708333189</v>
      </c>
      <c r="R16" s="9">
        <f t="shared" si="1"/>
        <v>0.56369841805555454</v>
      </c>
      <c r="S16" s="9">
        <f t="shared" si="1"/>
        <v>0.5693492090277773</v>
      </c>
      <c r="T16" s="9">
        <f t="shared" si="1"/>
        <v>0.57499999999999996</v>
      </c>
      <c r="U16" s="9">
        <f t="shared" si="1"/>
        <v>0.58394999999999997</v>
      </c>
      <c r="V16" s="9">
        <f t="shared" si="1"/>
        <v>0.59289999999999998</v>
      </c>
      <c r="W16" s="9">
        <f t="shared" si="1"/>
        <v>0.60185</v>
      </c>
      <c r="X16" s="9">
        <f t="shared" si="1"/>
        <v>0.61080000000000001</v>
      </c>
      <c r="Y16" s="9">
        <f t="shared" si="1"/>
        <v>0.61975000000000002</v>
      </c>
      <c r="Z16" s="9">
        <f t="shared" si="1"/>
        <v>0.63380000000000003</v>
      </c>
      <c r="AA16" s="9">
        <f t="shared" si="1"/>
        <v>0.64785000000000004</v>
      </c>
      <c r="AB16" s="9">
        <f t="shared" si="1"/>
        <v>0.66189999999999993</v>
      </c>
      <c r="AC16" s="9">
        <f t="shared" si="1"/>
        <v>0.67595000000000005</v>
      </c>
      <c r="AD16" s="9">
        <f t="shared" si="1"/>
        <v>0.69</v>
      </c>
    </row>
    <row r="22" x14ac:dyDescent="0.3">
      <c r="A22" s="4" t="s">
        <v>9</v>
      </c>
      <c r="B22" s="4" t="s">
        <v>73</v>
      </c>
      <c r="C22" s="4" t="s">
        <v>66</v>
      </c>
      <c r="D22" s="4"/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</row>
    <row r="23" x14ac:dyDescent="0.3">
      <c r="D23" s="3" t="s">
        <v>2</v>
      </c>
      <c r="E23" s="10">
        <v>2025</v>
      </c>
      <c r="F23" s="10">
        <v>2026</v>
      </c>
      <c r="G23" s="10">
        <v>2027</v>
      </c>
      <c r="H23" s="10">
        <v>2028</v>
      </c>
      <c r="I23" s="10">
        <v>2029</v>
      </c>
      <c r="J23" s="10">
        <v>2030</v>
      </c>
      <c r="K23" s="10">
        <v>2031</v>
      </c>
      <c r="L23" s="10">
        <v>2032</v>
      </c>
      <c r="M23" s="10">
        <v>2033</v>
      </c>
      <c r="N23" s="10">
        <v>2034</v>
      </c>
      <c r="O23" s="10">
        <v>2035</v>
      </c>
      <c r="P23" s="10">
        <v>2036</v>
      </c>
      <c r="Q23" s="10">
        <v>2037</v>
      </c>
      <c r="R23" s="10">
        <v>2038</v>
      </c>
      <c r="S23" s="10">
        <v>2039</v>
      </c>
      <c r="T23" s="10">
        <v>2040</v>
      </c>
      <c r="U23" s="10">
        <v>2041</v>
      </c>
      <c r="V23" s="10">
        <v>2042</v>
      </c>
      <c r="W23" s="10">
        <v>2043</v>
      </c>
      <c r="X23" s="10">
        <v>2044</v>
      </c>
      <c r="Y23" s="10">
        <v>2045</v>
      </c>
      <c r="Z23" s="10">
        <v>2046</v>
      </c>
      <c r="AA23" s="10">
        <v>2047</v>
      </c>
      <c r="AB23" s="10">
        <v>2048</v>
      </c>
      <c r="AC23" s="10">
        <v>2049</v>
      </c>
      <c r="AD23" s="10">
        <v>2050</v>
      </c>
    </row>
    <row r="24" x14ac:dyDescent="0.3">
      <c r="A24" t="s">
        <v>10</v>
      </c>
      <c r="B24" t="s">
        <v>74</v>
      </c>
      <c r="C24" t="s">
        <v>68</v>
      </c>
      <c r="E24" s="9">
        <v>0.18421936911787179</v>
      </c>
      <c r="F24" s="9">
        <f>(4*E24+1*J24)/5</f>
        <v>0.16737549529429743</v>
      </c>
      <c r="G24" s="9">
        <f>(3*E24+2*J24)/5</f>
        <v>0.15053162147072308</v>
      </c>
      <c r="H24" s="9">
        <f>(2*E24+3*J24)/5</f>
        <v>0.13368774764714872</v>
      </c>
      <c r="I24" s="9">
        <f>(1*E24+4*J24)/5</f>
        <v>0.11684387382357438</v>
      </c>
      <c r="J24" s="9">
        <v>0.1</v>
      </c>
      <c r="K24" s="9">
        <f>(4*J24+1*O24)/5</f>
        <v>0.11684387382357438</v>
      </c>
      <c r="L24" s="9">
        <f>(3*J24+2*O24)/5</f>
        <v>0.13368774764714872</v>
      </c>
      <c r="M24" s="9">
        <f>(2*J24+3*O24)/5</f>
        <v>0.15053162147072308</v>
      </c>
      <c r="N24" s="9">
        <f>(1*J24+4*O24)/5</f>
        <v>0.16737549529429743</v>
      </c>
      <c r="O24" s="9">
        <v>0.18421936911787179</v>
      </c>
      <c r="P24" s="9">
        <f>(4*O24+1*T24)/5</f>
        <v>0.15937549529429745</v>
      </c>
      <c r="Q24" s="9">
        <f>(3*O24+2*T24)/5</f>
        <v>0.13453162147072309</v>
      </c>
      <c r="R24" s="9">
        <f>(2*O24+3*T24)/5</f>
        <v>0.10968774764714873</v>
      </c>
      <c r="S24" s="9">
        <f>(1*O24+4*T24)/5</f>
        <v>8.4843873823574362E-2</v>
      </c>
      <c r="T24" s="9">
        <v>0.06</v>
      </c>
      <c r="U24" s="9">
        <f>(4*T24+1*Y24)/5</f>
        <v>5.5999999999999994E-2</v>
      </c>
      <c r="V24" s="9">
        <f>(3*T24+2*Y24)/5</f>
        <v>5.2000000000000005E-2</v>
      </c>
      <c r="W24" s="9">
        <f>(2*T24+3*Y24)/5</f>
        <v>4.8000000000000001E-2</v>
      </c>
      <c r="X24" s="9">
        <f>(1*T24+4*Y24)/5</f>
        <v>4.3999999999999997E-2</v>
      </c>
      <c r="Y24" s="9">
        <v>0.04</v>
      </c>
      <c r="Z24" s="9">
        <f>(4*Y24+1*AD24)/5</f>
        <v>3.5999999999999997E-2</v>
      </c>
      <c r="AA24" s="9">
        <f>(3*Y24+2*AD24)/5</f>
        <v>3.2000000000000001E-2</v>
      </c>
      <c r="AB24" s="9">
        <f>(2*Y24+3*AD24)/5</f>
        <v>2.8000000000000004E-2</v>
      </c>
      <c r="AC24" s="9">
        <f>(1*Y24+4*AD24)/5</f>
        <v>2.4E-2</v>
      </c>
      <c r="AD24" s="9">
        <v>0.02</v>
      </c>
    </row>
    <row r="25" x14ac:dyDescent="0.3">
      <c r="A25" t="s">
        <v>11</v>
      </c>
      <c r="B25" t="s">
        <v>75</v>
      </c>
      <c r="C25" t="s">
        <v>68</v>
      </c>
      <c r="E25" s="9">
        <v>2.900136489382258E-2</v>
      </c>
      <c r="F25" s="9">
        <f>(4*E25+1*J25)/5</f>
        <v>2.7201091915058061E-2</v>
      </c>
      <c r="G25" s="9">
        <f>(3*E25+2*J25)/5</f>
        <v>2.5400818936293552E-2</v>
      </c>
      <c r="H25" s="9">
        <f>(2*E25+3*J25)/5</f>
        <v>2.3600545957529032E-2</v>
      </c>
      <c r="I25" s="9">
        <f>(1*E25+4*J25)/5</f>
        <v>2.1800272978764516E-2</v>
      </c>
      <c r="J25" s="9">
        <v>0.02</v>
      </c>
      <c r="K25" s="9">
        <f>(4*J25+1*O25)/5</f>
        <v>2.1800272978764516E-2</v>
      </c>
      <c r="L25" s="9">
        <f>(3*J25+2*O25)/5</f>
        <v>2.3600545957529032E-2</v>
      </c>
      <c r="M25" s="9">
        <f>(2*J25+3*O25)/5</f>
        <v>2.5400818936293552E-2</v>
      </c>
      <c r="N25" s="9">
        <f>(1*J25+4*O25)/5</f>
        <v>2.7201091915058061E-2</v>
      </c>
      <c r="O25" s="9">
        <v>2.900136489382258E-2</v>
      </c>
      <c r="P25" s="9">
        <f>(4*O25+1*T25)/5</f>
        <v>2.5701091915058066E-2</v>
      </c>
      <c r="Q25" s="9">
        <f>(3*O25+2*T25)/5</f>
        <v>2.2400818936293549E-2</v>
      </c>
      <c r="R25" s="9">
        <f>(2*O25+3*T25)/5</f>
        <v>1.9100545957529032E-2</v>
      </c>
      <c r="S25" s="9">
        <f>(1*O25+4*T25)/5</f>
        <v>1.5800272978764518E-2</v>
      </c>
      <c r="T25" s="9">
        <v>1.2500000000000001E-2</v>
      </c>
      <c r="U25" s="9">
        <f>(4*T25+1*Y25)/5</f>
        <v>1.2E-2</v>
      </c>
      <c r="V25" s="9">
        <f>(3*T25+2*Y25)/5</f>
        <v>1.1500000000000002E-2</v>
      </c>
      <c r="W25" s="9">
        <f>(2*T25+3*Y25)/5</f>
        <v>1.0999999999999999E-2</v>
      </c>
      <c r="X25" s="9">
        <f>(1*T25+4*Y25)/5</f>
        <v>1.0500000000000001E-2</v>
      </c>
      <c r="Y25" s="9">
        <v>0.01</v>
      </c>
      <c r="Z25" s="9">
        <f>(4*Y25+1*AD25)/5</f>
        <v>9.4999999999999998E-3</v>
      </c>
      <c r="AA25" s="9">
        <f>(3*Y25+2*AD25)/5</f>
        <v>8.9999999999999993E-3</v>
      </c>
      <c r="AB25" s="9">
        <f>(2*Y25+3*AD25)/5</f>
        <v>8.4999999999999989E-3</v>
      </c>
      <c r="AC25" s="9">
        <f>(1*Y25+4*AD25)/5</f>
        <v>8.0000000000000002E-3</v>
      </c>
      <c r="AD25" s="9">
        <v>7.4999999999999997E-3</v>
      </c>
    </row>
    <row r="26" x14ac:dyDescent="0.3">
      <c r="A26" t="s">
        <v>12</v>
      </c>
      <c r="B26" t="s">
        <v>76</v>
      </c>
      <c r="C26" t="s">
        <v>68</v>
      </c>
      <c r="E26" s="9">
        <v>3.365228316885367E-3</v>
      </c>
      <c r="F26" s="9">
        <f>(4*E26+1*J26)/5</f>
        <v>6.692182653508294E-3</v>
      </c>
      <c r="G26" s="9">
        <f>(3*E26+2*J26)/5</f>
        <v>1.0019136990131221E-2</v>
      </c>
      <c r="H26" s="9">
        <f>(2*E26+3*J26)/5</f>
        <v>1.3346091326754147E-2</v>
      </c>
      <c r="I26" s="9">
        <f>(1*E26+4*J26)/5</f>
        <v>1.6673045663377073E-2</v>
      </c>
      <c r="J26" s="9">
        <v>0.02</v>
      </c>
      <c r="K26" s="9">
        <f>(4*J26+1*O26)/5</f>
        <v>1.6673045663377073E-2</v>
      </c>
      <c r="L26" s="9">
        <f>(3*J26+2*O26)/5</f>
        <v>1.3346091326754147E-2</v>
      </c>
      <c r="M26" s="9">
        <f>(2*J26+3*O26)/5</f>
        <v>1.0019136990131221E-2</v>
      </c>
      <c r="N26" s="9">
        <f>(1*J26+4*O26)/5</f>
        <v>6.692182653508294E-3</v>
      </c>
      <c r="O26" s="9">
        <v>3.365228316885367E-3</v>
      </c>
      <c r="P26" s="9">
        <f>(4*O26+1*T26)/5</f>
        <v>8.1921826535082936E-3</v>
      </c>
      <c r="Q26" s="9">
        <f>(3*O26+2*T26)/5</f>
        <v>1.3019136990131219E-2</v>
      </c>
      <c r="R26" s="9">
        <f>(2*O26+3*T26)/5</f>
        <v>1.7846091326754149E-2</v>
      </c>
      <c r="S26" s="9">
        <f>(1*O26+4*T26)/5</f>
        <v>2.2673045663377071E-2</v>
      </c>
      <c r="T26" s="9">
        <v>2.75E-2</v>
      </c>
      <c r="U26" s="9">
        <f>(4*T26+1*Y26)/5</f>
        <v>2.8000000000000004E-2</v>
      </c>
      <c r="V26" s="9">
        <f>(3*T26+2*Y26)/5</f>
        <v>2.8500000000000004E-2</v>
      </c>
      <c r="W26" s="9">
        <f>(2*T26+3*Y26)/5</f>
        <v>2.8999999999999998E-2</v>
      </c>
      <c r="X26" s="9">
        <f>(1*T26+4*Y26)/5</f>
        <v>2.9499999999999998E-2</v>
      </c>
      <c r="Y26" s="9">
        <v>0.03</v>
      </c>
      <c r="Z26" s="9">
        <f>(4*Y26+1*AD26)/5</f>
        <v>3.1E-2</v>
      </c>
      <c r="AA26" s="9">
        <f>(3*Y26+2*AD26)/5</f>
        <v>3.2000000000000001E-2</v>
      </c>
      <c r="AB26" s="9">
        <f>(2*Y26+3*AD26)/5</f>
        <v>3.3000000000000002E-2</v>
      </c>
      <c r="AC26" s="9">
        <f>(1*Y26+4*AD26)/5</f>
        <v>3.4000000000000002E-2</v>
      </c>
      <c r="AD26" s="9">
        <v>3.5000000000000003E-2</v>
      </c>
    </row>
    <row r="27" x14ac:dyDescent="0.3">
      <c r="A27" t="s">
        <v>13</v>
      </c>
      <c r="B27" t="s">
        <v>77</v>
      </c>
      <c r="C27" t="s">
        <v>68</v>
      </c>
      <c r="E27" s="9">
        <v>0.35574793972964969</v>
      </c>
      <c r="F27" s="9">
        <f>(4*E27+1*J27)/5</f>
        <v>0.35459835178371979</v>
      </c>
      <c r="G27" s="9">
        <f>(3*E27+2*J27)/5</f>
        <v>0.35344876383778978</v>
      </c>
      <c r="H27" s="9">
        <f>(2*E27+3*J27)/5</f>
        <v>0.35229917589185983</v>
      </c>
      <c r="I27" s="9">
        <f>(1*E27+4*J27)/5</f>
        <v>0.35114958794592993</v>
      </c>
      <c r="J27" s="9">
        <v>0.35</v>
      </c>
      <c r="K27" s="9">
        <f>(4*J27+1*O27)/5</f>
        <v>0.35114958794592993</v>
      </c>
      <c r="L27" s="9">
        <f>(3*J27+2*O27)/5</f>
        <v>0.35229917589185983</v>
      </c>
      <c r="M27" s="9">
        <f>(2*J27+3*O27)/5</f>
        <v>0.35344876383778978</v>
      </c>
      <c r="N27" s="9">
        <f>(1*J27+4*O27)/5</f>
        <v>0.35459835178371979</v>
      </c>
      <c r="O27" s="9">
        <v>0.35574793972964969</v>
      </c>
      <c r="P27" s="9">
        <f>(4*O27+1*T27)/5</f>
        <v>0.34959835178371973</v>
      </c>
      <c r="Q27" s="9">
        <f>(3*O27+2*T27)/5</f>
        <v>0.34344876383778977</v>
      </c>
      <c r="R27" s="9">
        <f>(2*O27+3*T27)/5</f>
        <v>0.33729917589185987</v>
      </c>
      <c r="S27" s="9">
        <f>(1*O27+4*T27)/5</f>
        <v>0.33114958794592997</v>
      </c>
      <c r="T27" s="9">
        <v>0.32500000000000001</v>
      </c>
      <c r="U27" s="9">
        <f>(4*T27+1*Y27)/5</f>
        <v>0.32</v>
      </c>
      <c r="V27" s="9">
        <f>(3*T27+2*Y27)/5</f>
        <v>0.31500000000000006</v>
      </c>
      <c r="W27" s="9">
        <f>(2*T27+3*Y27)/5</f>
        <v>0.30999999999999994</v>
      </c>
      <c r="X27" s="9">
        <f>(1*T27+4*Y27)/5</f>
        <v>0.30499999999999999</v>
      </c>
      <c r="Y27" s="9">
        <v>0.3</v>
      </c>
      <c r="Z27" s="9">
        <f>(4*Y27+1*AD27)/5</f>
        <v>0.28999999999999998</v>
      </c>
      <c r="AA27" s="9">
        <f>(3*Y27+2*AD27)/5</f>
        <v>0.27999999999999997</v>
      </c>
      <c r="AB27" s="9">
        <f>(2*Y27+3*AD27)/5</f>
        <v>0.27</v>
      </c>
      <c r="AC27" s="9">
        <f>(1*Y27+4*AD27)/5</f>
        <v>0.26</v>
      </c>
      <c r="AD27" s="9">
        <v>0.25</v>
      </c>
    </row>
    <row r="28" x14ac:dyDescent="0.3">
      <c r="A28" t="s">
        <v>14</v>
      </c>
      <c r="B28" t="s">
        <v>78</v>
      </c>
      <c r="C28" t="s">
        <v>68</v>
      </c>
      <c r="E28" s="9">
        <v>0.42766609794177057</v>
      </c>
      <c r="F28" s="9">
        <f>(4*E28+1*J28)/5</f>
        <v>0.44413287835341642</v>
      </c>
      <c r="G28" s="9">
        <f>(3*E28+2*J28)/5</f>
        <v>0.46059965876506237</v>
      </c>
      <c r="H28" s="9">
        <f>(2*E28+3*J28)/5</f>
        <v>0.47706643917670827</v>
      </c>
      <c r="I28" s="9">
        <f>(1*E28+4*J28)/5</f>
        <v>0.49353321958835411</v>
      </c>
      <c r="J28" s="9">
        <f>1-SUM(J24:J27)</f>
        <v>0.51</v>
      </c>
      <c r="K28" s="9">
        <f>(4*J28+1*O28)/5</f>
        <v>0.49353321958835411</v>
      </c>
      <c r="L28" s="9">
        <f>(3*J28+2*O28)/5</f>
        <v>0.47706643917670827</v>
      </c>
      <c r="M28" s="9">
        <f>(2*J28+3*O28)/5</f>
        <v>0.46059965876506237</v>
      </c>
      <c r="N28" s="9">
        <f>(1*J28+4*O28)/5</f>
        <v>0.44413287835341642</v>
      </c>
      <c r="O28" s="9">
        <v>0.42766609794177057</v>
      </c>
      <c r="P28" s="9">
        <f>(4*O28+1*T28)/5</f>
        <v>0.45713287835341648</v>
      </c>
      <c r="Q28" s="9">
        <f>(3*O28+2*T28)/5</f>
        <v>0.48659965876506234</v>
      </c>
      <c r="R28" s="9">
        <f>(2*O28+3*T28)/5</f>
        <v>0.51606643917670814</v>
      </c>
      <c r="S28" s="9">
        <f>(1*O28+4*T28)/5</f>
        <v>0.5455332195883541</v>
      </c>
      <c r="T28" s="9">
        <f>1-SUM(T24:T27)</f>
        <v>0.57499999999999996</v>
      </c>
      <c r="U28" s="9">
        <f>(4*T28+1*Y28)/5</f>
        <v>0.58399999999999996</v>
      </c>
      <c r="V28" s="9">
        <f>(3*T28+2*Y28)/5</f>
        <v>0.59299999999999997</v>
      </c>
      <c r="W28" s="9">
        <f>(2*T28+3*Y28)/5</f>
        <v>0.60199999999999998</v>
      </c>
      <c r="X28" s="9">
        <f>(1*T28+4*Y28)/5</f>
        <v>0.61099999999999999</v>
      </c>
      <c r="Y28" s="9">
        <f>1-SUM(Y24:Y27)</f>
        <v>0.62</v>
      </c>
      <c r="Z28" s="9">
        <f>(4*Y28+1*AD28)/5</f>
        <v>0.63349999999999995</v>
      </c>
      <c r="AA28" s="9">
        <f>(3*Y28+2*AD28)/5</f>
        <v>0.64700000000000002</v>
      </c>
      <c r="AB28" s="9">
        <f>(2*Y28+3*AD28)/5</f>
        <v>0.66050000000000009</v>
      </c>
      <c r="AC28" s="9">
        <f>(1*Y28+4*AD28)/5</f>
        <v>0.67400000000000004</v>
      </c>
      <c r="AD28" s="9">
        <f>1-SUM(AD24:AD27)</f>
        <v>0.6875</v>
      </c>
    </row>
    <row r="39" x14ac:dyDescent="0.3">
      <c r="A39" s="4" t="s">
        <v>15</v>
      </c>
      <c r="B39" s="4"/>
      <c r="C39" s="4"/>
      <c r="D39" s="4" t="s">
        <v>2</v>
      </c>
      <c r="E39" s="10">
        <v>2025</v>
      </c>
      <c r="F39" s="10">
        <v>2026</v>
      </c>
      <c r="G39" s="10">
        <v>2027</v>
      </c>
      <c r="H39" s="10">
        <v>2028</v>
      </c>
      <c r="I39" s="10">
        <v>2029</v>
      </c>
      <c r="J39" s="10">
        <v>2030</v>
      </c>
      <c r="K39" s="10">
        <v>2031</v>
      </c>
      <c r="L39" s="10">
        <v>2032</v>
      </c>
      <c r="M39" s="10">
        <v>2033</v>
      </c>
      <c r="N39" s="10">
        <v>2034</v>
      </c>
      <c r="O39" s="10">
        <v>2035</v>
      </c>
      <c r="P39" s="10">
        <v>2036</v>
      </c>
      <c r="Q39" s="10">
        <v>2037</v>
      </c>
      <c r="R39" s="10">
        <v>2038</v>
      </c>
      <c r="S39" s="10">
        <v>2039</v>
      </c>
      <c r="T39" s="10">
        <v>2040</v>
      </c>
      <c r="U39" s="10">
        <v>2041</v>
      </c>
      <c r="V39" s="10">
        <v>2042</v>
      </c>
      <c r="W39" s="10">
        <v>2043</v>
      </c>
      <c r="X39" s="10">
        <v>2044</v>
      </c>
      <c r="Y39" s="10">
        <v>2045</v>
      </c>
      <c r="Z39" s="10">
        <v>2046</v>
      </c>
      <c r="AA39" s="10">
        <v>2047</v>
      </c>
      <c r="AB39" s="10">
        <v>2048</v>
      </c>
      <c r="AC39" s="10">
        <v>2049</v>
      </c>
      <c r="AD39" s="10">
        <v>2050</v>
      </c>
    </row>
    <row r="40" x14ac:dyDescent="0.3">
      <c r="A40" s="5" t="s">
        <v>16</v>
      </c>
      <c r="B40" s="5" t="s">
        <v>79</v>
      </c>
      <c r="C40" s="5" t="s">
        <v>80</v>
      </c>
      <c r="D40" s="5"/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9">
        <v>1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</row>
    <row r="41" x14ac:dyDescent="0.3">
      <c r="A41" s="5" t="s">
        <v>17</v>
      </c>
      <c r="B41" s="5" t="s">
        <v>81</v>
      </c>
      <c r="C41" s="5" t="s">
        <v>80</v>
      </c>
      <c r="D41" s="5"/>
      <c r="E41" s="9">
        <v>1</v>
      </c>
      <c r="F41" s="9">
        <v>1.05</v>
      </c>
      <c r="G41" s="9">
        <v>1.0814999999999999</v>
      </c>
      <c r="H41" s="9">
        <v>1.1031299999999999</v>
      </c>
      <c r="I41" s="9">
        <v>1.1141612999999999</v>
      </c>
      <c r="J41" s="9">
        <v>1.1141612999999999</v>
      </c>
      <c r="K41" s="9">
        <v>1.103019687</v>
      </c>
      <c r="L41" s="9">
        <v>1.0809592932600001</v>
      </c>
      <c r="M41" s="9">
        <v>1.0485305144621999</v>
      </c>
      <c r="N41" s="9">
        <v>1.006589293883712</v>
      </c>
      <c r="O41" s="9">
        <v>0.95625982918952668</v>
      </c>
      <c r="P41" s="9">
        <v>0.8988842394381551</v>
      </c>
      <c r="Q41" s="9">
        <v>0.83596234267748426</v>
      </c>
      <c r="R41" s="9">
        <v>0.76908535526328559</v>
      </c>
      <c r="S41" s="9">
        <v>0.69986767328958988</v>
      </c>
      <c r="T41" s="9">
        <v>0.62988090596063095</v>
      </c>
      <c r="U41" s="9">
        <v>0.56059400630496159</v>
      </c>
      <c r="V41" s="9">
        <v>0.4933227255483662</v>
      </c>
      <c r="W41" s="9">
        <v>0.42919077122707872</v>
      </c>
      <c r="X41" s="9">
        <v>0.36910406325528772</v>
      </c>
      <c r="Y41" s="9">
        <v>0.31373845376699461</v>
      </c>
      <c r="Z41" s="9">
        <v>0.26354030116427551</v>
      </c>
      <c r="AA41" s="9">
        <v>0.25</v>
      </c>
      <c r="AB41" s="9">
        <v>0.25</v>
      </c>
      <c r="AC41" s="9">
        <v>0.25</v>
      </c>
      <c r="AD41" s="9">
        <v>0.25</v>
      </c>
    </row>
    <row r="42" x14ac:dyDescent="0.3">
      <c r="A42" s="5" t="s">
        <v>18</v>
      </c>
      <c r="B42" s="5" t="s">
        <v>82</v>
      </c>
      <c r="C42" s="5" t="s">
        <v>80</v>
      </c>
      <c r="D42" s="5"/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</row>
    <row r="43" x14ac:dyDescent="0.3">
      <c r="A43" s="5" t="s">
        <v>19</v>
      </c>
      <c r="B43" s="5" t="s">
        <v>83</v>
      </c>
      <c r="C43" s="5" t="s">
        <v>80</v>
      </c>
      <c r="D43" s="5"/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</row>
    <row r="44" x14ac:dyDescent="0.3">
      <c r="A44" s="5" t="s">
        <v>20</v>
      </c>
      <c r="B44" s="5" t="s">
        <v>84</v>
      </c>
      <c r="C44" s="5" t="s">
        <v>80</v>
      </c>
      <c r="D44" s="5"/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1</v>
      </c>
      <c r="V44" s="9">
        <v>1</v>
      </c>
      <c r="W44" s="9">
        <v>1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</row>
    <row r="45" x14ac:dyDescent="0.3">
      <c r="O45" s="6">
        <v>0.96969278258768077</v>
      </c>
      <c r="P45" s="6">
        <v>0.93435276544696289</v>
      </c>
      <c r="Q45" s="6">
        <v>0.89454181122124277</v>
      </c>
      <c r="R45" s="6">
        <v>0.85088984558924374</v>
      </c>
      <c r="S45" s="6">
        <v>0.80407799354565135</v>
      </c>
      <c r="T45" s="6">
        <v>0.75482049195281808</v>
      </c>
      <c r="U45" s="6">
        <v>0.7038460633423701</v>
      </c>
      <c r="V45" s="6">
        <v>0.65187944812494381</v>
      </c>
      <c r="W45" s="6">
        <v>0.59962377022743907</v>
      </c>
      <c r="X45" s="6">
        <v>0.54774435634229945</v>
      </c>
      <c r="Y45" s="6">
        <v>0.49685454505582571</v>
      </c>
      <c r="Z45" s="6">
        <v>0.44750391446796312</v>
      </c>
      <c r="AA45" s="6">
        <v>0.43356340767881918</v>
      </c>
      <c r="AB45" s="6">
        <v>0.43356340767881918</v>
      </c>
      <c r="AC45" s="6">
        <v>0.43356340767881918</v>
      </c>
      <c r="AD45" s="6">
        <v>0.43356340767881918</v>
      </c>
    </row>
    <row r="46" x14ac:dyDescent="0.3">
      <c r="A46" s="5" t="s">
        <v>21</v>
      </c>
      <c r="B46" s="5" t="s">
        <v>85</v>
      </c>
      <c r="C46" s="5" t="s">
        <v>80</v>
      </c>
      <c r="D46" s="5"/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f>0.78^(COLUMN(A1)/15)</f>
        <v>0.98357233960960255</v>
      </c>
      <c r="P46" s="9">
        <f t="shared" ref="P46:AD46" si="2">0.78^(COLUMN(B1)/15)</f>
        <v>0.96741454724510745</v>
      </c>
      <c r="Q46" s="9">
        <f t="shared" si="2"/>
        <v>0.95152218960623469</v>
      </c>
      <c r="R46" s="9">
        <f t="shared" si="2"/>
        <v>0.93589090622145621</v>
      </c>
      <c r="S46" s="9">
        <f t="shared" si="2"/>
        <v>0.92051640825158887</v>
      </c>
      <c r="T46" s="9">
        <f t="shared" si="2"/>
        <v>0.90539447731304334</v>
      </c>
      <c r="U46" s="9">
        <f t="shared" si="2"/>
        <v>0.89052096432040329</v>
      </c>
      <c r="V46" s="9">
        <f t="shared" si="2"/>
        <v>0.87589178834801851</v>
      </c>
      <c r="W46" s="9">
        <f t="shared" si="2"/>
        <v>0.86150293551029944</v>
      </c>
      <c r="X46" s="9">
        <f t="shared" si="2"/>
        <v>0.84735045786040575</v>
      </c>
      <c r="Y46" s="9">
        <f t="shared" si="2"/>
        <v>0.83343047230702727</v>
      </c>
      <c r="Z46" s="9">
        <f t="shared" si="2"/>
        <v>0.81973915954895893</v>
      </c>
      <c r="AA46" s="9">
        <f t="shared" si="2"/>
        <v>0.80627276302717887</v>
      </c>
      <c r="AB46" s="9">
        <f t="shared" si="2"/>
        <v>0.79302758789414096</v>
      </c>
      <c r="AC46" s="9">
        <f t="shared" si="2"/>
        <v>0.78</v>
      </c>
      <c r="AD46" s="9">
        <f t="shared" si="2"/>
        <v>0.76718642489549005</v>
      </c>
    </row>
    <row r="47" x14ac:dyDescent="0.3">
      <c r="A47" s="5" t="s">
        <v>22</v>
      </c>
      <c r="B47" s="5" t="s">
        <v>86</v>
      </c>
      <c r="C47" s="5" t="s">
        <v>80</v>
      </c>
      <c r="D47" s="5"/>
      <c r="E47" s="11">
        <f>MAX(0.001,0.25^COLUMN(A1))</f>
        <v>0.25</v>
      </c>
      <c r="F47" s="11">
        <f t="shared" ref="F47:AD47" si="3">MAX(0.001,0.25^COLUMN(B1))</f>
        <v>6.25E-2</v>
      </c>
      <c r="G47" s="11">
        <f t="shared" si="3"/>
        <v>1.5625E-2</v>
      </c>
      <c r="H47" s="11">
        <f t="shared" si="3"/>
        <v>3.90625E-3</v>
      </c>
      <c r="I47" s="11">
        <f t="shared" si="3"/>
        <v>1E-3</v>
      </c>
      <c r="J47" s="11">
        <f t="shared" si="3"/>
        <v>1E-3</v>
      </c>
      <c r="K47" s="11">
        <f t="shared" si="3"/>
        <v>1E-3</v>
      </c>
      <c r="L47" s="11">
        <f t="shared" si="3"/>
        <v>1E-3</v>
      </c>
      <c r="M47" s="11">
        <f t="shared" si="3"/>
        <v>1E-3</v>
      </c>
      <c r="N47" s="11">
        <f t="shared" si="3"/>
        <v>1E-3</v>
      </c>
      <c r="O47" s="11">
        <f t="shared" si="3"/>
        <v>1E-3</v>
      </c>
      <c r="P47" s="11">
        <f t="shared" si="3"/>
        <v>1E-3</v>
      </c>
      <c r="Q47" s="11">
        <f t="shared" si="3"/>
        <v>1E-3</v>
      </c>
      <c r="R47" s="11">
        <f t="shared" si="3"/>
        <v>1E-3</v>
      </c>
      <c r="S47" s="11">
        <f t="shared" si="3"/>
        <v>1E-3</v>
      </c>
      <c r="T47" s="11">
        <f t="shared" si="3"/>
        <v>1E-3</v>
      </c>
      <c r="U47" s="11">
        <f t="shared" si="3"/>
        <v>1E-3</v>
      </c>
      <c r="V47" s="11">
        <f t="shared" si="3"/>
        <v>1E-3</v>
      </c>
      <c r="W47" s="11">
        <f t="shared" si="3"/>
        <v>1E-3</v>
      </c>
      <c r="X47" s="11">
        <f t="shared" si="3"/>
        <v>1E-3</v>
      </c>
      <c r="Y47" s="11">
        <f t="shared" si="3"/>
        <v>1E-3</v>
      </c>
      <c r="Z47" s="11">
        <f t="shared" si="3"/>
        <v>1E-3</v>
      </c>
      <c r="AA47" s="11">
        <f t="shared" si="3"/>
        <v>1E-3</v>
      </c>
      <c r="AB47" s="11">
        <f t="shared" si="3"/>
        <v>1E-3</v>
      </c>
      <c r="AC47" s="11">
        <f t="shared" si="3"/>
        <v>1E-3</v>
      </c>
      <c r="AD47" s="11">
        <f t="shared" si="3"/>
        <v>1E-3</v>
      </c>
    </row>
    <row r="50" x14ac:dyDescent="0.3">
      <c r="A50" s="4" t="s">
        <v>23</v>
      </c>
      <c r="B50" s="4"/>
      <c r="C50" s="4"/>
      <c r="D50" s="4" t="s">
        <v>2</v>
      </c>
      <c r="E50" s="10">
        <v>2025</v>
      </c>
      <c r="F50" s="10">
        <v>2026</v>
      </c>
      <c r="G50" s="10">
        <v>2027</v>
      </c>
      <c r="H50" s="10">
        <v>2028</v>
      </c>
      <c r="I50" s="10">
        <v>2029</v>
      </c>
      <c r="J50" s="10">
        <v>2030</v>
      </c>
      <c r="K50" s="10">
        <v>2031</v>
      </c>
      <c r="L50" s="10">
        <v>2032</v>
      </c>
      <c r="M50" s="10">
        <v>2033</v>
      </c>
      <c r="N50" s="10">
        <v>2034</v>
      </c>
      <c r="O50" s="10">
        <v>2035</v>
      </c>
      <c r="P50" s="10">
        <v>2036</v>
      </c>
      <c r="Q50" s="10">
        <v>2037</v>
      </c>
      <c r="R50" s="10">
        <v>2038</v>
      </c>
      <c r="S50" s="10">
        <v>2039</v>
      </c>
      <c r="T50" s="10">
        <v>2040</v>
      </c>
      <c r="U50" s="10">
        <v>2041</v>
      </c>
      <c r="V50" s="10">
        <v>2042</v>
      </c>
      <c r="W50" s="10">
        <v>2043</v>
      </c>
      <c r="X50" s="10">
        <v>2044</v>
      </c>
      <c r="Y50" s="10">
        <v>2045</v>
      </c>
      <c r="Z50" s="10">
        <v>2046</v>
      </c>
      <c r="AA50" s="10">
        <v>2047</v>
      </c>
      <c r="AB50" s="10">
        <v>2048</v>
      </c>
      <c r="AC50" s="10">
        <v>2049</v>
      </c>
      <c r="AD50" s="10">
        <v>2050</v>
      </c>
    </row>
    <row r="51" x14ac:dyDescent="0.3">
      <c r="A51" s="5" t="s">
        <v>24</v>
      </c>
      <c r="B51" s="5" t="s">
        <v>87</v>
      </c>
      <c r="C51" s="5" t="s">
        <v>80</v>
      </c>
      <c r="D51" s="5"/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</row>
    <row r="52" x14ac:dyDescent="0.3">
      <c r="A52" s="5" t="s">
        <v>25</v>
      </c>
      <c r="B52" s="5" t="s">
        <v>88</v>
      </c>
      <c r="C52" s="5" t="s">
        <v>80</v>
      </c>
      <c r="D52" s="5"/>
      <c r="E52" s="9">
        <v>1</v>
      </c>
      <c r="F52" s="9">
        <f>E58/0.025*PRODUCT($E$10:F$10)</f>
        <v>1.7306518567441862</v>
      </c>
      <c r="G52" s="9">
        <f>F58/0.025*PRODUCT($E$10:G$10)</f>
        <v>3.1552118832470604</v>
      </c>
      <c r="H52" s="9">
        <f>G58/0.025*PRODUCT($E$10:H$10)</f>
        <v>3.4034349201685385</v>
      </c>
      <c r="I52" s="9">
        <f>H58/0.025*PRODUCT($E$10:I$10)</f>
        <v>3.6516579570900163</v>
      </c>
      <c r="J52" s="9">
        <f>I58/0.025*PRODUCT($E$10:J$10)</f>
        <v>3.8998809940114958</v>
      </c>
      <c r="K52" s="9">
        <f>J58/0.025*PRODUCT($E$10:K$10)</f>
        <v>3.98052593537333</v>
      </c>
      <c r="L52" s="9">
        <f>K58/0.025*PRODUCT($E$10:L$10)</f>
        <v>3.1979810534456314</v>
      </c>
      <c r="M52" s="9">
        <f>L58/0.025*PRODUCT($E$10:M$10)</f>
        <v>3.271037300074549</v>
      </c>
      <c r="N52" s="9">
        <f>M58/0.025*PRODUCT($E$10:N$10)</f>
        <v>3.344073935337891</v>
      </c>
      <c r="O52" s="9">
        <f>N58/0.025*PRODUCT($E$10:O$10)</f>
        <v>3.4171089754784467</v>
      </c>
      <c r="P52" s="9">
        <f>O58/0.025*PRODUCT($E$10:P$10)</f>
        <v>3.4950055609030182</v>
      </c>
      <c r="Q52" s="9">
        <f>P58/0.025*PRODUCT($E$10:Q$10)</f>
        <v>3.5804447217194446</v>
      </c>
      <c r="R52" s="9">
        <f>Q58/0.025*PRODUCT($E$10:R$10)</f>
        <v>3.6658838825358844</v>
      </c>
      <c r="S52" s="9">
        <f>R58/0.025*PRODUCT($E$10:S$10)</f>
        <v>3.7513230433523121</v>
      </c>
      <c r="T52" s="9">
        <f>S58/0.025*PRODUCT($E$10:T$10)</f>
        <v>3.8367622041687497</v>
      </c>
      <c r="U52" s="9">
        <f>T58/0.025*PRODUCT($E$10:U$10)</f>
        <v>3.922201364985177</v>
      </c>
      <c r="V52" s="9">
        <f>U58/0.025*PRODUCT($E$10:V$10)</f>
        <v>4.0076405258016168</v>
      </c>
      <c r="W52" s="9">
        <f>V58/0.025*PRODUCT($E$10:W$10)</f>
        <v>4.0930796866180428</v>
      </c>
      <c r="X52" s="9">
        <f>W58/0.025*PRODUCT($E$10:X$10)</f>
        <v>4.1785188474344821</v>
      </c>
      <c r="Y52" s="9">
        <f>X58/0.025*PRODUCT($E$10:Y$10)</f>
        <v>4.2639580082509081</v>
      </c>
      <c r="Z52" s="9">
        <f>Y58/0.025*PRODUCT($E$10:Z$10)</f>
        <v>4.3493971690673492</v>
      </c>
      <c r="AA52" s="9">
        <f>Z58/0.025*PRODUCT($E$10:AA$10)</f>
        <v>4.4348363298837752</v>
      </c>
      <c r="AB52" s="9">
        <f>AA58/0.025*PRODUCT($E$10:AB$10)</f>
        <v>4.5202754907002136</v>
      </c>
      <c r="AC52" s="9">
        <f>AB58/0.025*PRODUCT($E$10:AC$10)</f>
        <v>4.6057146515166405</v>
      </c>
      <c r="AD52" s="9">
        <f>AC58/0.025*PRODUCT($E$10:AD$10)</f>
        <v>4.691153812333078</v>
      </c>
    </row>
    <row r="53" x14ac:dyDescent="0.3">
      <c r="A53" s="5" t="s">
        <v>26</v>
      </c>
      <c r="B53" s="5" t="s">
        <v>89</v>
      </c>
      <c r="C53" s="5" t="s">
        <v>80</v>
      </c>
      <c r="D53" s="5"/>
      <c r="E53" s="9">
        <v>1</v>
      </c>
      <c r="F53" s="9">
        <f>(E59/0.009*PRODUCT($E$10:F$10))</f>
        <v>1.3771125684754524</v>
      </c>
      <c r="G53" s="9">
        <f>(F59/0.009*PRODUCT($E$10:G$10))</f>
        <v>14.045844195834396</v>
      </c>
      <c r="H53" s="9">
        <f>(G59/0.009*PRODUCT($E$10:H$10))</f>
        <v>14.438738977828395</v>
      </c>
      <c r="I53" s="9">
        <f>(H59/0.009*PRODUCT($E$10:I$10))</f>
        <v>14.831633759822402</v>
      </c>
      <c r="J53" s="9">
        <f>(I59/0.009*PRODUCT($E$10:J$10))</f>
        <v>15.224528541816404</v>
      </c>
      <c r="K53" s="9">
        <f>(J59/0.009*PRODUCT($E$10:K$10))</f>
        <v>13.259279028924601</v>
      </c>
      <c r="L53" s="9">
        <f>(K59/0.009*PRODUCT($E$10:L$10))</f>
        <v>12.802709800136755</v>
      </c>
      <c r="M53" s="9">
        <f>(L59/0.009*PRODUCT($E$10:M$10))</f>
        <v>13.093481146810923</v>
      </c>
      <c r="N53" s="9">
        <f>(M59/0.009*PRODUCT($E$10:N$10))</f>
        <v>13.384187406526756</v>
      </c>
      <c r="O53" s="9">
        <f>(N59/0.009*PRODUCT($E$10:O$10))</f>
        <v>13.674899698169058</v>
      </c>
      <c r="P53" s="9">
        <f>(O59/0.009*PRODUCT($E$10:P$10))</f>
        <v>13.985076708026579</v>
      </c>
      <c r="Q53" s="9">
        <f>(P59/0.009*PRODUCT($E$10:Q$10))</f>
        <v>14.219034463211157</v>
      </c>
      <c r="R53" s="9">
        <f>(Q59/0.009*PRODUCT($E$10:R$10))</f>
        <v>14.559396042156116</v>
      </c>
      <c r="S53" s="9">
        <f>(R59/0.009*PRODUCT($E$10:S$10))</f>
        <v>14.89975762110109</v>
      </c>
      <c r="T53" s="9">
        <f>(S59/0.009*PRODUCT($E$10:T$10))</f>
        <v>15.24011920004604</v>
      </c>
      <c r="U53" s="9">
        <f>(T59/0.009*PRODUCT($E$10:U$10))</f>
        <v>14.750147184546558</v>
      </c>
      <c r="V53" s="9">
        <f>(U59/0.009*PRODUCT($E$10:V$10))</f>
        <v>15.090508763491515</v>
      </c>
      <c r="W53" s="9">
        <f>(V59/0.009*PRODUCT($E$10:W$10))</f>
        <v>15.430870342436483</v>
      </c>
      <c r="X53" s="9">
        <f>(W59/0.009*PRODUCT($E$10:X$10))</f>
        <v>15.771231921381432</v>
      </c>
      <c r="Y53" s="9">
        <f>(X59/0.009*PRODUCT($E$10:Y$10))</f>
        <v>16.111593500326379</v>
      </c>
      <c r="Z53" s="9">
        <f>(Y59/0.009*PRODUCT($E$10:Z$10))</f>
        <v>16.451955079271332</v>
      </c>
      <c r="AA53" s="9">
        <f>(Z59/0.009*PRODUCT($E$10:AA$10))</f>
        <v>16.792316658216347</v>
      </c>
      <c r="AB53" s="9">
        <f>(AA59/0.009*PRODUCT($E$10:AB$10))</f>
        <v>17.132678237161294</v>
      </c>
      <c r="AC53" s="9">
        <f>(AB59/0.009*PRODUCT($E$10:AC$10))</f>
        <v>17.473039816106247</v>
      </c>
      <c r="AD53" s="9">
        <f>(AC59/0.009*PRODUCT($E$10:AD$10))</f>
        <v>17.813401395051194</v>
      </c>
    </row>
    <row r="54" x14ac:dyDescent="0.3">
      <c r="A54" s="5" t="s">
        <v>27</v>
      </c>
      <c r="B54" s="5" t="s">
        <v>90</v>
      </c>
      <c r="C54" s="5" t="s">
        <v>80</v>
      </c>
      <c r="D54" s="5"/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</row>
    <row r="55" x14ac:dyDescent="0.3">
      <c r="A55" s="5" t="s">
        <v>28</v>
      </c>
      <c r="B55" s="5" t="s">
        <v>91</v>
      </c>
      <c r="C55" s="5" t="s">
        <v>80</v>
      </c>
      <c r="D55" s="5"/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  <c r="U55" s="9">
        <v>1</v>
      </c>
      <c r="V55" s="9">
        <v>1</v>
      </c>
      <c r="W55" s="9">
        <v>1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</row>
    <row r="57" x14ac:dyDescent="0.3">
      <c r="A57" s="4" t="s">
        <v>29</v>
      </c>
      <c r="B57" s="4"/>
      <c r="C57" s="4"/>
      <c r="D57" s="4" t="s">
        <v>2</v>
      </c>
      <c r="E57" s="10">
        <v>2025</v>
      </c>
      <c r="F57" s="10">
        <v>2026</v>
      </c>
      <c r="G57" s="10">
        <v>2027</v>
      </c>
      <c r="H57" s="10">
        <v>2028</v>
      </c>
      <c r="I57" s="10">
        <v>2029</v>
      </c>
      <c r="J57" s="10">
        <v>2030</v>
      </c>
      <c r="K57" s="10">
        <v>2031</v>
      </c>
      <c r="L57" s="10">
        <v>2032</v>
      </c>
      <c r="M57" s="10">
        <v>2033</v>
      </c>
      <c r="N57" s="10">
        <v>2034</v>
      </c>
      <c r="O57" s="10">
        <v>2035</v>
      </c>
      <c r="P57" s="10">
        <v>2036</v>
      </c>
      <c r="Q57" s="10">
        <v>2037</v>
      </c>
      <c r="R57" s="10">
        <v>2038</v>
      </c>
      <c r="S57" s="10">
        <v>2039</v>
      </c>
      <c r="T57" s="10">
        <v>2040</v>
      </c>
      <c r="U57" s="10">
        <v>2041</v>
      </c>
      <c r="V57" s="10">
        <v>2042</v>
      </c>
      <c r="W57" s="10">
        <v>2043</v>
      </c>
      <c r="X57" s="10">
        <v>2044</v>
      </c>
      <c r="Y57" s="10">
        <v>2045</v>
      </c>
      <c r="Z57" s="10">
        <v>2046</v>
      </c>
      <c r="AA57" s="10">
        <v>2047</v>
      </c>
      <c r="AB57" s="10">
        <v>2048</v>
      </c>
      <c r="AC57" s="10">
        <v>2049</v>
      </c>
      <c r="AD57" s="10">
        <v>2050</v>
      </c>
    </row>
    <row r="58" x14ac:dyDescent="0.3">
      <c r="A58" s="5" t="s">
        <v>30</v>
      </c>
      <c r="B58" s="5" t="s">
        <v>208</v>
      </c>
      <c r="C58" s="5" t="s">
        <v>209</v>
      </c>
      <c r="D58" s="5"/>
      <c r="E58" s="9">
        <v>0.035757269767441861</v>
      </c>
      <c r="F58" s="9">
        <v>0.05926393469660142</v>
      </c>
      <c r="G58" s="9">
        <v>0.058114796123361408</v>
      </c>
      <c r="H58" s="9">
        <v>0.056684807251895591</v>
      </c>
      <c r="I58" s="9">
        <v>0.055034528785792493</v>
      </c>
      <c r="J58" s="9">
        <v>0.051299157954821248</v>
      </c>
      <c r="K58" s="9">
        <v>0.037802417096241658</v>
      </c>
      <c r="L58" s="9">
        <v>0.035612654109022084</v>
      </c>
      <c r="M58" s="9">
        <v>0.033665728757225122</v>
      </c>
      <c r="N58" s="9">
        <v>0.031930288130124995</v>
      </c>
      <c r="O58" s="9">
        <v>0.030379695404248973</v>
      </c>
      <c r="P58" s="9">
        <v>0.028951032235862255</v>
      </c>
      <c r="Q58" s="9">
        <v>0.027573844372400208</v>
      </c>
      <c r="R58" s="9">
        <v>0.026247903225352597</v>
      </c>
      <c r="S58" s="9">
        <v>0.024972761546442793</v>
      </c>
      <c r="T58" s="9">
        <v>0.023747785050945883</v>
      </c>
      <c r="U58" s="9">
        <v>0.022572180692777444</v>
      </c>
      <c r="V58" s="9">
        <v>0.02144502190461918</v>
      </c>
      <c r="W58" s="9">
        <v>0.02036527108893791</v>
      </c>
      <c r="X58" s="9">
        <v>0.019331799620635807</v>
      </c>
      <c r="Y58" s="9">
        <v>0.018343405599073354</v>
      </c>
      <c r="Z58" s="9">
        <v>0.017398829566141128</v>
      </c>
      <c r="AA58" s="9">
        <v>0.016496768387781607</v>
      </c>
      <c r="AB58" s="9">
        <v>0.015635887478714361</v>
      </c>
      <c r="AC58" s="9">
        <v>0.01481483153397885</v>
      </c>
      <c r="AD58" s="9">
        <v>0.01394951333485943</v>
      </c>
    </row>
    <row r="59" x14ac:dyDescent="0.3">
      <c r="A59" s="5" t="s">
        <v>31</v>
      </c>
      <c r="B59" s="5" t="s">
        <v>210</v>
      </c>
      <c r="C59" s="5" t="s">
        <v>211</v>
      </c>
      <c r="D59" s="5"/>
      <c r="E59" s="9">
        <v>0.010242986046511627</v>
      </c>
      <c r="F59" s="9">
        <v>0.094975655719391081</v>
      </c>
      <c r="G59" s="9">
        <v>0.088756677003248075</v>
      </c>
      <c r="H59" s="9">
        <v>0.082883498915499787</v>
      </c>
      <c r="I59" s="9">
        <v>0.077344645132935055</v>
      </c>
      <c r="J59" s="9">
        <v>0.061516580902493401</v>
      </c>
      <c r="K59" s="9">
        <v>0.054481378215160137</v>
      </c>
      <c r="L59" s="9">
        <v>0.051318797696177518</v>
      </c>
      <c r="M59" s="9">
        <v>0.048507250547571754</v>
      </c>
      <c r="N59" s="9">
        <v>0.04600135864344386</v>
      </c>
      <c r="O59" s="9">
        <v>0.043762577984181275</v>
      </c>
      <c r="P59" s="9">
        <v>0.041390406096661086</v>
      </c>
      <c r="Q59" s="9">
        <v>0.039424344047728876</v>
      </c>
      <c r="R59" s="9">
        <v>0.037531148604396783</v>
      </c>
      <c r="S59" s="9">
        <v>0.035710222132373522</v>
      </c>
      <c r="T59" s="9">
        <v>0.032150821744336935</v>
      </c>
      <c r="U59" s="9">
        <v>0.030597866203442028</v>
      </c>
      <c r="V59" s="9">
        <v>0.02910510813894078</v>
      </c>
      <c r="W59" s="9">
        <v>0.027671706907760406</v>
      </c>
      <c r="X59" s="9">
        <v>0.026296646154889421</v>
      </c>
      <c r="Y59" s="9">
        <v>0.024978762423149253</v>
      </c>
      <c r="Z59" s="9">
        <v>0.023716770626182007</v>
      </c>
      <c r="AA59" s="9">
        <v>0.022509286683086605</v>
      </c>
      <c r="AB59" s="9">
        <v>0.021354847586764043</v>
      </c>
      <c r="AC59" s="9">
        <v>0.020251929153883033</v>
      </c>
      <c r="AD59" s="9">
        <v>0.017801339589469077</v>
      </c>
    </row>
    <row r="60" x14ac:dyDescent="0.3">
      <c r="A60" s="4" t="s">
        <v>32</v>
      </c>
      <c r="B60" s="4" t="s">
        <v>92</v>
      </c>
      <c r="C60" s="4"/>
      <c r="D60" s="4" t="s">
        <v>2</v>
      </c>
      <c r="E60" s="10">
        <v>2025</v>
      </c>
      <c r="F60" s="10">
        <v>2026</v>
      </c>
      <c r="G60" s="10">
        <v>2027</v>
      </c>
      <c r="H60" s="10">
        <v>2028</v>
      </c>
      <c r="I60" s="10">
        <v>2029</v>
      </c>
      <c r="J60" s="10">
        <v>2030</v>
      </c>
      <c r="K60" s="10">
        <v>2031</v>
      </c>
      <c r="L60" s="10">
        <v>2032</v>
      </c>
      <c r="M60" s="10">
        <v>2033</v>
      </c>
      <c r="N60" s="10">
        <v>2034</v>
      </c>
      <c r="O60" s="10">
        <v>2035</v>
      </c>
      <c r="P60" s="10">
        <v>2036</v>
      </c>
      <c r="Q60" s="10">
        <v>2037</v>
      </c>
      <c r="R60" s="10">
        <v>2038</v>
      </c>
      <c r="S60" s="10">
        <v>2039</v>
      </c>
      <c r="T60" s="10">
        <v>2040</v>
      </c>
      <c r="U60" s="10">
        <v>2041</v>
      </c>
      <c r="V60" s="10">
        <v>2042</v>
      </c>
      <c r="W60" s="10">
        <v>2043</v>
      </c>
      <c r="X60" s="10">
        <v>2044</v>
      </c>
      <c r="Y60" s="10">
        <v>2045</v>
      </c>
      <c r="Z60" s="10">
        <v>2046</v>
      </c>
      <c r="AA60" s="10">
        <v>2047</v>
      </c>
      <c r="AB60" s="10">
        <v>2048</v>
      </c>
      <c r="AC60" s="10">
        <v>2049</v>
      </c>
      <c r="AD60" s="10">
        <v>2050</v>
      </c>
    </row>
    <row r="61" x14ac:dyDescent="0.3">
      <c r="A61" s="5" t="s">
        <v>33</v>
      </c>
      <c r="B61" s="5" t="s">
        <v>93</v>
      </c>
      <c r="C61" s="5" t="s">
        <v>94</v>
      </c>
      <c r="D61" s="5"/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0</v>
      </c>
    </row>
    <row r="62" x14ac:dyDescent="0.3">
      <c r="A62" s="5" t="s">
        <v>34</v>
      </c>
      <c r="B62" s="5" t="s">
        <v>95</v>
      </c>
      <c r="C62" s="5" t="s">
        <v>94</v>
      </c>
      <c r="D62" s="5"/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9">
        <v>1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0</v>
      </c>
    </row>
    <row r="64" x14ac:dyDescent="0.3">
      <c r="A64" s="4" t="s">
        <v>35</v>
      </c>
      <c r="B64" s="4" t="s">
        <v>92</v>
      </c>
      <c r="C64" s="4"/>
      <c r="D64" s="4" t="s">
        <v>2</v>
      </c>
      <c r="E64" s="10">
        <v>2025</v>
      </c>
      <c r="F64" s="10">
        <v>2026</v>
      </c>
      <c r="G64" s="10">
        <v>2027</v>
      </c>
      <c r="H64" s="10">
        <v>2028</v>
      </c>
      <c r="I64" s="10">
        <v>2029</v>
      </c>
      <c r="J64" s="10">
        <v>2030</v>
      </c>
      <c r="K64" s="10">
        <v>2031</v>
      </c>
      <c r="L64" s="10">
        <v>2032</v>
      </c>
      <c r="M64" s="10">
        <v>2033</v>
      </c>
      <c r="N64" s="10">
        <v>2034</v>
      </c>
      <c r="O64" s="10">
        <v>2035</v>
      </c>
      <c r="P64" s="10">
        <v>2036</v>
      </c>
      <c r="Q64" s="10">
        <v>2037</v>
      </c>
      <c r="R64" s="10">
        <v>2038</v>
      </c>
      <c r="S64" s="10">
        <v>2039</v>
      </c>
      <c r="T64" s="10">
        <v>2040</v>
      </c>
      <c r="U64" s="10">
        <v>2041</v>
      </c>
      <c r="V64" s="10">
        <v>2042</v>
      </c>
      <c r="W64" s="10">
        <v>2043</v>
      </c>
      <c r="X64" s="10">
        <v>2044</v>
      </c>
      <c r="Y64" s="10">
        <v>2045</v>
      </c>
      <c r="Z64" s="10">
        <v>2046</v>
      </c>
      <c r="AA64" s="10">
        <v>2047</v>
      </c>
      <c r="AB64" s="10">
        <v>2048</v>
      </c>
      <c r="AC64" s="10">
        <v>2049</v>
      </c>
      <c r="AD64" s="10">
        <v>2050</v>
      </c>
    </row>
    <row r="65" x14ac:dyDescent="0.3">
      <c r="A65" s="5" t="s">
        <v>36</v>
      </c>
      <c r="B65" s="5" t="s">
        <v>96</v>
      </c>
      <c r="C65" s="5" t="s">
        <v>97</v>
      </c>
      <c r="D65" s="5"/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1</v>
      </c>
      <c r="V65" s="9">
        <v>1</v>
      </c>
      <c r="W65" s="9">
        <v>1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  <c r="AD65" s="9">
        <v>1</v>
      </c>
    </row>
    <row r="66" x14ac:dyDescent="0.3">
      <c r="A66" s="5" t="s">
        <v>37</v>
      </c>
      <c r="B66" s="5" t="s">
        <v>98</v>
      </c>
      <c r="C66" s="5" t="s">
        <v>97</v>
      </c>
      <c r="D66" s="5"/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1</v>
      </c>
      <c r="U66" s="9">
        <v>1</v>
      </c>
      <c r="V66" s="9">
        <v>1</v>
      </c>
      <c r="W66" s="9">
        <v>1</v>
      </c>
      <c r="X66" s="9">
        <v>1</v>
      </c>
      <c r="Y66" s="9">
        <v>1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</row>
    <row r="67" x14ac:dyDescent="0.3">
      <c r="A67" s="5" t="s">
        <v>38</v>
      </c>
      <c r="B67" s="5" t="s">
        <v>99</v>
      </c>
      <c r="C67" s="5" t="s">
        <v>97</v>
      </c>
      <c r="D67" s="5"/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</row>
    <row r="68" x14ac:dyDescent="0.3">
      <c r="A68" s="5" t="s">
        <v>39</v>
      </c>
      <c r="B68" s="5" t="s">
        <v>100</v>
      </c>
      <c r="C68" s="5" t="s">
        <v>97</v>
      </c>
      <c r="D68" s="5"/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  <c r="U68" s="9">
        <v>1</v>
      </c>
      <c r="V68" s="9">
        <v>1</v>
      </c>
      <c r="W68" s="9">
        <v>1</v>
      </c>
      <c r="X68" s="9">
        <v>1</v>
      </c>
      <c r="Y68" s="9">
        <v>1</v>
      </c>
      <c r="Z68" s="9">
        <v>1</v>
      </c>
      <c r="AA68" s="9">
        <v>1</v>
      </c>
      <c r="AB68" s="9">
        <v>1</v>
      </c>
      <c r="AC68" s="9">
        <v>1</v>
      </c>
      <c r="AD68" s="9">
        <v>1</v>
      </c>
    </row>
    <row r="69" x14ac:dyDescent="0.3">
      <c r="A69" s="5" t="s">
        <v>40</v>
      </c>
      <c r="B69" s="5" t="s">
        <v>101</v>
      </c>
      <c r="C69" s="5" t="s">
        <v>97</v>
      </c>
      <c r="D69" s="5"/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</row>
    <row r="71" x14ac:dyDescent="0.3">
      <c r="A71" s="4" t="s">
        <v>41</v>
      </c>
      <c r="B71" s="4" t="s">
        <v>92</v>
      </c>
      <c r="C71" s="4"/>
      <c r="D71" s="4" t="s">
        <v>2</v>
      </c>
      <c r="E71" s="10">
        <v>2025</v>
      </c>
      <c r="F71" s="10">
        <v>2026</v>
      </c>
      <c r="G71" s="10">
        <v>2027</v>
      </c>
      <c r="H71" s="10">
        <v>2028</v>
      </c>
      <c r="I71" s="10">
        <v>2029</v>
      </c>
      <c r="J71" s="10">
        <v>2030</v>
      </c>
      <c r="K71" s="10">
        <v>2031</v>
      </c>
      <c r="L71" s="10">
        <v>2032</v>
      </c>
      <c r="M71" s="10">
        <v>2033</v>
      </c>
      <c r="N71" s="10">
        <v>2034</v>
      </c>
      <c r="O71" s="10">
        <v>2035</v>
      </c>
      <c r="P71" s="10">
        <v>2036</v>
      </c>
      <c r="Q71" s="10">
        <v>2037</v>
      </c>
      <c r="R71" s="10">
        <v>2038</v>
      </c>
      <c r="S71" s="10">
        <v>2039</v>
      </c>
      <c r="T71" s="10">
        <v>2040</v>
      </c>
      <c r="U71" s="10">
        <v>2041</v>
      </c>
      <c r="V71" s="10">
        <v>2042</v>
      </c>
      <c r="W71" s="10">
        <v>2043</v>
      </c>
      <c r="X71" s="10">
        <v>2044</v>
      </c>
      <c r="Y71" s="10">
        <v>2045</v>
      </c>
      <c r="Z71" s="10">
        <v>2046</v>
      </c>
      <c r="AA71" s="10">
        <v>2047</v>
      </c>
      <c r="AB71" s="10">
        <v>2048</v>
      </c>
      <c r="AC71" s="10">
        <v>2049</v>
      </c>
      <c r="AD71" s="10">
        <v>2050</v>
      </c>
    </row>
    <row r="72" x14ac:dyDescent="0.3">
      <c r="A72" s="5" t="s">
        <v>42</v>
      </c>
      <c r="B72" s="5" t="s">
        <v>102</v>
      </c>
      <c r="C72" s="5" t="s">
        <v>103</v>
      </c>
      <c r="D72" s="5"/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</row>
    <row r="73" x14ac:dyDescent="0.3">
      <c r="A73" s="5" t="s">
        <v>43</v>
      </c>
      <c r="B73" s="5" t="s">
        <v>104</v>
      </c>
      <c r="C73" s="5" t="s">
        <v>103</v>
      </c>
      <c r="D73" s="5"/>
      <c r="E73" s="9">
        <v>0</v>
      </c>
      <c r="F73" s="9">
        <v>-6.7500000000000004E-2</v>
      </c>
      <c r="G73" s="9">
        <v>-6.7500000000000004E-2</v>
      </c>
      <c r="H73" s="9">
        <v>-6.7500000000000004E-2</v>
      </c>
      <c r="I73" s="9">
        <v>-6.7500000000000004E-2</v>
      </c>
      <c r="J73" s="9">
        <v>-6.7500000000000004E-2</v>
      </c>
      <c r="K73" s="9">
        <v>-6.7500000000000004E-2</v>
      </c>
      <c r="L73" s="9">
        <v>-6.7500000000000004E-2</v>
      </c>
      <c r="M73" s="9">
        <v>-6.7500000000000004E-2</v>
      </c>
      <c r="N73" s="9">
        <v>-6.7500000000000004E-2</v>
      </c>
      <c r="O73" s="9">
        <v>-6.7500000000000004E-2</v>
      </c>
      <c r="P73" s="9">
        <v>-6.7500000000000004E-2</v>
      </c>
      <c r="Q73" s="9">
        <v>-6.7500000000000004E-2</v>
      </c>
      <c r="R73" s="9">
        <v>-6.7500000000000004E-2</v>
      </c>
      <c r="S73" s="9">
        <v>-6.7500000000000004E-2</v>
      </c>
      <c r="T73" s="9">
        <v>-6.7500000000000004E-2</v>
      </c>
      <c r="U73" s="9">
        <v>-6.7500000000000004E-2</v>
      </c>
      <c r="V73" s="9">
        <v>-6.7500000000000004E-2</v>
      </c>
      <c r="W73" s="9">
        <v>-6.7500000000000004E-2</v>
      </c>
      <c r="X73" s="9">
        <v>-6.7500000000000004E-2</v>
      </c>
      <c r="Y73" s="9">
        <v>-6.7500000000000004E-2</v>
      </c>
      <c r="Z73" s="9">
        <v>-6.7500000000000004E-2</v>
      </c>
      <c r="AA73" s="9">
        <v>-6.7500000000000004E-2</v>
      </c>
      <c r="AB73" s="9">
        <v>-6.7500000000000004E-2</v>
      </c>
      <c r="AC73" s="9">
        <v>-6.7500000000000004E-2</v>
      </c>
      <c r="AD73" s="9">
        <v>-6.7500000000000004E-2</v>
      </c>
    </row>
    <row r="74" x14ac:dyDescent="0.3">
      <c r="A74" s="5" t="s">
        <v>44</v>
      </c>
      <c r="B74" s="5" t="s">
        <v>105</v>
      </c>
      <c r="C74" s="5" t="s">
        <v>103</v>
      </c>
      <c r="D74" s="5"/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</row>
    <row r="75" x14ac:dyDescent="0.3">
      <c r="A75" s="5" t="s">
        <v>45</v>
      </c>
      <c r="B75" s="5" t="s">
        <v>106</v>
      </c>
      <c r="C75" s="5" t="s">
        <v>103</v>
      </c>
      <c r="D75" s="5"/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</row>
    <row r="76" x14ac:dyDescent="0.3">
      <c r="A76" s="5" t="s">
        <v>46</v>
      </c>
      <c r="B76" s="5" t="s">
        <v>107</v>
      </c>
      <c r="C76" s="5" t="s">
        <v>103</v>
      </c>
      <c r="D76" s="5"/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</row>
    <row r="78" x14ac:dyDescent="0.3">
      <c r="A78" s="4" t="s">
        <v>47</v>
      </c>
      <c r="B78" s="4" t="s">
        <v>92</v>
      </c>
      <c r="C78" s="4"/>
      <c r="D78" s="4" t="s">
        <v>2</v>
      </c>
      <c r="E78" s="10">
        <v>2025</v>
      </c>
      <c r="F78" s="10">
        <v>2026</v>
      </c>
      <c r="G78" s="10">
        <v>2027</v>
      </c>
      <c r="H78" s="10">
        <v>2028</v>
      </c>
      <c r="I78" s="10">
        <v>2029</v>
      </c>
      <c r="J78" s="10">
        <v>2030</v>
      </c>
      <c r="K78" s="10">
        <v>2031</v>
      </c>
      <c r="L78" s="10">
        <v>2032</v>
      </c>
      <c r="M78" s="10">
        <v>2033</v>
      </c>
      <c r="N78" s="10">
        <v>2034</v>
      </c>
      <c r="O78" s="10">
        <v>2035</v>
      </c>
      <c r="P78" s="10">
        <v>2036</v>
      </c>
      <c r="Q78" s="10">
        <v>2037</v>
      </c>
      <c r="R78" s="10">
        <v>2038</v>
      </c>
      <c r="S78" s="10">
        <v>2039</v>
      </c>
      <c r="T78" s="10">
        <v>2040</v>
      </c>
      <c r="U78" s="10">
        <v>2041</v>
      </c>
      <c r="V78" s="10">
        <v>2042</v>
      </c>
      <c r="W78" s="10">
        <v>2043</v>
      </c>
      <c r="X78" s="10">
        <v>2044</v>
      </c>
      <c r="Y78" s="10">
        <v>2045</v>
      </c>
      <c r="Z78" s="10">
        <v>2046</v>
      </c>
      <c r="AA78" s="10">
        <v>2047</v>
      </c>
      <c r="AB78" s="10">
        <v>2048</v>
      </c>
      <c r="AC78" s="10">
        <v>2049</v>
      </c>
      <c r="AD78" s="10">
        <v>2050</v>
      </c>
    </row>
    <row r="79" x14ac:dyDescent="0.3">
      <c r="A79" s="5" t="s">
        <v>48</v>
      </c>
      <c r="B79" s="5" t="s">
        <v>108</v>
      </c>
      <c r="C79" s="5" t="s">
        <v>97</v>
      </c>
      <c r="D79" s="5"/>
      <c r="E79" s="9">
        <v>1</v>
      </c>
      <c r="F79" s="9">
        <v>1</v>
      </c>
      <c r="G79" s="9">
        <v>1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>
        <v>1</v>
      </c>
      <c r="T79" s="9">
        <v>1</v>
      </c>
      <c r="U79" s="9">
        <v>1</v>
      </c>
      <c r="V79" s="9">
        <v>1</v>
      </c>
      <c r="W79" s="9">
        <v>1</v>
      </c>
      <c r="X79" s="9">
        <v>1</v>
      </c>
      <c r="Y79" s="9">
        <v>1</v>
      </c>
      <c r="Z79" s="9">
        <v>1</v>
      </c>
      <c r="AA79" s="9">
        <v>1</v>
      </c>
      <c r="AB79" s="9">
        <v>1</v>
      </c>
      <c r="AC79" s="9">
        <v>1</v>
      </c>
      <c r="AD79" s="9">
        <v>1</v>
      </c>
    </row>
    <row r="80" x14ac:dyDescent="0.3">
      <c r="A80" s="5" t="s">
        <v>49</v>
      </c>
      <c r="B80" s="5" t="s">
        <v>109</v>
      </c>
      <c r="C80" s="5" t="s">
        <v>103</v>
      </c>
      <c r="D80" s="5"/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</row>
    <row r="82" x14ac:dyDescent="0.3">
      <c r="A82" s="4" t="s">
        <v>50</v>
      </c>
      <c r="B82" s="4" t="s">
        <v>92</v>
      </c>
      <c r="C82" s="4"/>
      <c r="D82" s="4" t="s">
        <v>2</v>
      </c>
      <c r="E82" s="10">
        <v>2025</v>
      </c>
      <c r="F82" s="10">
        <v>2026</v>
      </c>
      <c r="G82" s="10">
        <v>2027</v>
      </c>
      <c r="H82" s="10">
        <v>2028</v>
      </c>
      <c r="I82" s="10">
        <v>2029</v>
      </c>
      <c r="J82" s="10">
        <v>2030</v>
      </c>
      <c r="K82" s="10">
        <v>2031</v>
      </c>
      <c r="L82" s="10">
        <v>2032</v>
      </c>
      <c r="M82" s="10">
        <v>2033</v>
      </c>
      <c r="N82" s="10">
        <v>2034</v>
      </c>
      <c r="O82" s="10">
        <v>2035</v>
      </c>
      <c r="P82" s="10">
        <v>2036</v>
      </c>
      <c r="Q82" s="10">
        <v>2037</v>
      </c>
      <c r="R82" s="10">
        <v>2038</v>
      </c>
      <c r="S82" s="10">
        <v>2039</v>
      </c>
      <c r="T82" s="10">
        <v>2040</v>
      </c>
      <c r="U82" s="10">
        <v>2041</v>
      </c>
      <c r="V82" s="10">
        <v>2042</v>
      </c>
      <c r="W82" s="10">
        <v>2043</v>
      </c>
      <c r="X82" s="10">
        <v>2044</v>
      </c>
      <c r="Y82" s="10">
        <v>2045</v>
      </c>
      <c r="Z82" s="10">
        <v>2046</v>
      </c>
      <c r="AA82" s="10">
        <v>2047</v>
      </c>
      <c r="AB82" s="10">
        <v>2048</v>
      </c>
      <c r="AC82" s="10">
        <v>2049</v>
      </c>
      <c r="AD82" s="10">
        <v>2050</v>
      </c>
    </row>
    <row r="83" x14ac:dyDescent="0.3">
      <c r="A83" s="5" t="s">
        <v>51</v>
      </c>
      <c r="B83" s="5" t="s">
        <v>110</v>
      </c>
      <c r="C83" s="5" t="s">
        <v>80</v>
      </c>
      <c r="D83" s="5"/>
      <c r="E83" s="9">
        <v>1</v>
      </c>
      <c r="F83" s="9">
        <v>1.007278020378457</v>
      </c>
      <c r="G83" s="9">
        <v>1.0145560407569141</v>
      </c>
      <c r="H83" s="9">
        <v>1.0218340611353711</v>
      </c>
      <c r="I83" s="9">
        <v>1.0291120815138282</v>
      </c>
      <c r="J83" s="9">
        <v>1.0363901018922852</v>
      </c>
      <c r="K83" s="9">
        <v>1.0366812227074236</v>
      </c>
      <c r="L83" s="9">
        <v>1.0369723435225617</v>
      </c>
      <c r="M83" s="9">
        <v>1.0372634643377001</v>
      </c>
      <c r="N83" s="9">
        <v>1.0375545851528385</v>
      </c>
      <c r="O83" s="9">
        <v>1.0378457059679767</v>
      </c>
      <c r="P83" s="9">
        <v>1.0372634643376999</v>
      </c>
      <c r="Q83" s="9">
        <v>1.0366812227074236</v>
      </c>
      <c r="R83" s="9">
        <v>1.0360989810771468</v>
      </c>
      <c r="S83" s="9">
        <v>1.0355167394468705</v>
      </c>
      <c r="T83" s="9">
        <v>1.0349344978165937</v>
      </c>
      <c r="U83" s="9">
        <v>1.0331877729257639</v>
      </c>
      <c r="V83" s="9">
        <v>1.0314410480349345</v>
      </c>
      <c r="W83" s="9">
        <v>1.0296943231441047</v>
      </c>
      <c r="X83" s="9">
        <v>1.0279475982532751</v>
      </c>
      <c r="Y83" s="9">
        <v>1.0262008733624455</v>
      </c>
      <c r="Z83" s="9">
        <v>1.022707423580786</v>
      </c>
      <c r="AA83" s="9">
        <v>1.0192139737991266</v>
      </c>
      <c r="AB83" s="9">
        <v>1.0157205240174672</v>
      </c>
      <c r="AC83" s="9">
        <v>1.0122270742358077</v>
      </c>
      <c r="AD83" s="9">
        <v>1.0087336244541485</v>
      </c>
    </row>
    <row r="84" x14ac:dyDescent="0.3">
      <c r="A84" s="5" t="s">
        <v>52</v>
      </c>
      <c r="B84" s="5" t="s">
        <v>111</v>
      </c>
      <c r="C84" s="5" t="s">
        <v>80</v>
      </c>
      <c r="D84" s="5"/>
      <c r="E84" s="9">
        <v>1</v>
      </c>
      <c r="F84" s="9">
        <v>1.001823708206687</v>
      </c>
      <c r="G84" s="9">
        <v>1.003647416413374</v>
      </c>
      <c r="H84" s="9">
        <v>1.0054711246200609</v>
      </c>
      <c r="I84" s="9">
        <v>1.0072948328267479</v>
      </c>
      <c r="J84" s="9">
        <v>1.0091185410334349</v>
      </c>
      <c r="K84" s="9">
        <v>1.0212765957446814</v>
      </c>
      <c r="L84" s="9">
        <v>1.0334346504559278</v>
      </c>
      <c r="M84" s="9">
        <v>1.0455927051671732</v>
      </c>
      <c r="N84" s="9">
        <v>1.0577507598784197</v>
      </c>
      <c r="O84" s="9">
        <v>1.069908814589666</v>
      </c>
      <c r="P84" s="9">
        <v>1.0826747720364747</v>
      </c>
      <c r="Q84" s="9">
        <v>1.0954407294832831</v>
      </c>
      <c r="R84" s="9">
        <v>1.1082066869300917</v>
      </c>
      <c r="S84" s="9">
        <v>1.1209726443769004</v>
      </c>
      <c r="T84" s="9">
        <v>1.1337386018237088</v>
      </c>
      <c r="U84" s="9">
        <v>1.145288753799393</v>
      </c>
      <c r="V84" s="9">
        <v>1.1568389057750763</v>
      </c>
      <c r="W84" s="9">
        <v>1.1683890577507605</v>
      </c>
      <c r="X84" s="9">
        <v>1.1799392097264438</v>
      </c>
      <c r="Y84" s="9">
        <v>1.191489361702128</v>
      </c>
      <c r="Z84" s="9">
        <v>1.2006079027355627</v>
      </c>
      <c r="AA84" s="9">
        <v>1.2097264437689976</v>
      </c>
      <c r="AB84" s="9">
        <v>1.2188449848024319</v>
      </c>
      <c r="AC84" s="9">
        <v>1.2279635258358668</v>
      </c>
      <c r="AD84" s="9">
        <v>1.2370820668693012</v>
      </c>
    </row>
    <row r="86" x14ac:dyDescent="0.3">
      <c r="A86" s="4" t="s">
        <v>53</v>
      </c>
      <c r="B86" s="4" t="s">
        <v>92</v>
      </c>
      <c r="C86" s="4"/>
      <c r="D86" s="4" t="s">
        <v>2</v>
      </c>
      <c r="E86" s="10">
        <v>2025</v>
      </c>
      <c r="F86" s="10">
        <v>2026</v>
      </c>
      <c r="G86" s="10">
        <v>2027</v>
      </c>
      <c r="H86" s="10">
        <v>2028</v>
      </c>
      <c r="I86" s="10">
        <v>2029</v>
      </c>
      <c r="J86" s="10">
        <v>2030</v>
      </c>
      <c r="K86" s="10">
        <v>2031</v>
      </c>
      <c r="L86" s="10">
        <v>2032</v>
      </c>
      <c r="M86" s="10">
        <v>2033</v>
      </c>
      <c r="N86" s="10">
        <v>2034</v>
      </c>
      <c r="O86" s="10">
        <v>2035</v>
      </c>
      <c r="P86" s="10">
        <v>2036</v>
      </c>
      <c r="Q86" s="10">
        <v>2037</v>
      </c>
      <c r="R86" s="10">
        <v>2038</v>
      </c>
      <c r="S86" s="10">
        <v>2039</v>
      </c>
      <c r="T86" s="10">
        <v>2040</v>
      </c>
      <c r="U86" s="10">
        <v>2041</v>
      </c>
      <c r="V86" s="10">
        <v>2042</v>
      </c>
      <c r="W86" s="10">
        <v>2043</v>
      </c>
      <c r="X86" s="10">
        <v>2044</v>
      </c>
      <c r="Y86" s="10">
        <v>2045</v>
      </c>
      <c r="Z86" s="10">
        <v>2046</v>
      </c>
      <c r="AA86" s="10">
        <v>2047</v>
      </c>
      <c r="AB86" s="10">
        <v>2048</v>
      </c>
      <c r="AC86" s="10">
        <v>2049</v>
      </c>
      <c r="AD86" s="10">
        <v>2050</v>
      </c>
    </row>
    <row r="87" x14ac:dyDescent="0.3">
      <c r="A87" s="5" t="s">
        <v>54</v>
      </c>
      <c r="B87" s="13" t="s">
        <v>134</v>
      </c>
      <c r="C87" s="5" t="s">
        <v>113</v>
      </c>
      <c r="D87" s="5"/>
      <c r="E87" s="9">
        <v>1</v>
      </c>
      <c r="F87" s="9">
        <v>1</v>
      </c>
      <c r="G87" s="9">
        <v>1</v>
      </c>
      <c r="H87" s="9">
        <v>1</v>
      </c>
      <c r="I87" s="9">
        <v>1</v>
      </c>
      <c r="J87" s="9">
        <v>1</v>
      </c>
      <c r="K87" s="9">
        <v>1</v>
      </c>
      <c r="L87" s="9">
        <v>1</v>
      </c>
      <c r="M87" s="9">
        <v>1</v>
      </c>
      <c r="N87" s="9">
        <v>1</v>
      </c>
      <c r="O87" s="9">
        <v>1</v>
      </c>
      <c r="P87" s="9">
        <v>1</v>
      </c>
      <c r="Q87" s="9">
        <v>1</v>
      </c>
      <c r="R87" s="9">
        <v>1</v>
      </c>
      <c r="S87" s="9">
        <v>1</v>
      </c>
      <c r="T87" s="9">
        <v>1</v>
      </c>
      <c r="U87" s="9">
        <v>1</v>
      </c>
      <c r="V87" s="9">
        <v>1</v>
      </c>
      <c r="W87" s="9">
        <v>1</v>
      </c>
      <c r="X87" s="9">
        <v>1</v>
      </c>
      <c r="Y87" s="9">
        <v>1</v>
      </c>
      <c r="Z87" s="9">
        <v>1</v>
      </c>
      <c r="AA87" s="9">
        <v>1</v>
      </c>
      <c r="AB87" s="9">
        <v>1</v>
      </c>
      <c r="AC87" s="9">
        <v>1</v>
      </c>
      <c r="AD87" s="9">
        <v>1</v>
      </c>
    </row>
    <row r="88" x14ac:dyDescent="0.3">
      <c r="A88" s="5" t="s">
        <v>55</v>
      </c>
      <c r="B88" s="13" t="s">
        <v>135</v>
      </c>
      <c r="C88" s="5" t="s">
        <v>113</v>
      </c>
      <c r="D88" s="5"/>
      <c r="E88" s="9">
        <v>1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1</v>
      </c>
      <c r="S88" s="9">
        <v>1</v>
      </c>
      <c r="T88" s="9">
        <v>1</v>
      </c>
      <c r="U88" s="9">
        <v>1</v>
      </c>
      <c r="V88" s="9">
        <v>1</v>
      </c>
      <c r="W88" s="9">
        <v>1</v>
      </c>
      <c r="X88" s="9">
        <v>1</v>
      </c>
      <c r="Y88" s="9">
        <v>1</v>
      </c>
      <c r="Z88" s="9">
        <v>1</v>
      </c>
      <c r="AA88" s="9">
        <v>1</v>
      </c>
      <c r="AB88" s="9">
        <v>1</v>
      </c>
      <c r="AC88" s="9">
        <v>1</v>
      </c>
      <c r="AD88" s="9">
        <v>1</v>
      </c>
    </row>
    <row r="89" x14ac:dyDescent="0.3">
      <c r="A89" s="5" t="s">
        <v>56</v>
      </c>
      <c r="B89" s="13" t="s">
        <v>136</v>
      </c>
      <c r="C89" s="5" t="s">
        <v>113</v>
      </c>
      <c r="D89" s="5"/>
      <c r="E89" s="9">
        <v>1</v>
      </c>
      <c r="F89" s="9">
        <v>1</v>
      </c>
      <c r="G89" s="9">
        <v>1</v>
      </c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1</v>
      </c>
      <c r="P89" s="9">
        <v>1</v>
      </c>
      <c r="Q89" s="9">
        <v>1</v>
      </c>
      <c r="R89" s="9">
        <v>1</v>
      </c>
      <c r="S89" s="9">
        <v>1</v>
      </c>
      <c r="T89" s="9">
        <v>1</v>
      </c>
      <c r="U89" s="9">
        <v>1</v>
      </c>
      <c r="V89" s="9">
        <v>1</v>
      </c>
      <c r="W89" s="9">
        <v>1</v>
      </c>
      <c r="X89" s="9">
        <v>1</v>
      </c>
      <c r="Y89" s="9">
        <v>1</v>
      </c>
      <c r="Z89" s="9">
        <v>1</v>
      </c>
      <c r="AA89" s="9">
        <v>1</v>
      </c>
      <c r="AB89" s="9">
        <v>1</v>
      </c>
      <c r="AC89" s="9">
        <v>1</v>
      </c>
      <c r="AD89" s="9">
        <v>1</v>
      </c>
    </row>
    <row r="90" x14ac:dyDescent="0.3">
      <c r="A90" s="5" t="s">
        <v>57</v>
      </c>
      <c r="B90" s="13" t="s">
        <v>137</v>
      </c>
      <c r="C90" s="5" t="s">
        <v>113</v>
      </c>
      <c r="D90" s="5"/>
      <c r="E90" s="9">
        <v>1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9">
        <v>1</v>
      </c>
      <c r="T90" s="9">
        <v>1</v>
      </c>
      <c r="U90" s="9">
        <v>1</v>
      </c>
      <c r="V90" s="9">
        <v>1</v>
      </c>
      <c r="W90" s="9">
        <v>1</v>
      </c>
      <c r="X90" s="9">
        <v>1</v>
      </c>
      <c r="Y90" s="9">
        <v>1</v>
      </c>
      <c r="Z90" s="9">
        <v>1</v>
      </c>
      <c r="AA90" s="9">
        <v>1</v>
      </c>
      <c r="AB90" s="9">
        <v>1</v>
      </c>
      <c r="AC90" s="9">
        <v>1</v>
      </c>
      <c r="AD90" s="9">
        <v>1</v>
      </c>
    </row>
    <row r="91" x14ac:dyDescent="0.3">
      <c r="A91" s="5" t="s">
        <v>58</v>
      </c>
      <c r="B91" s="13" t="s">
        <v>138</v>
      </c>
      <c r="C91" s="5" t="s">
        <v>113</v>
      </c>
      <c r="D91" s="5"/>
      <c r="E91" s="9">
        <v>1</v>
      </c>
      <c r="F91" s="9">
        <v>1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1</v>
      </c>
      <c r="Q91" s="9">
        <v>1</v>
      </c>
      <c r="R91" s="9">
        <v>1</v>
      </c>
      <c r="S91" s="9">
        <v>1</v>
      </c>
      <c r="T91" s="9">
        <v>1</v>
      </c>
      <c r="U91" s="9">
        <v>1</v>
      </c>
      <c r="V91" s="9">
        <v>1</v>
      </c>
      <c r="W91" s="9">
        <v>1</v>
      </c>
      <c r="X91" s="9">
        <v>1</v>
      </c>
      <c r="Y91" s="9">
        <v>1</v>
      </c>
      <c r="Z91" s="9">
        <v>1</v>
      </c>
      <c r="AA91" s="9">
        <v>1</v>
      </c>
      <c r="AB91" s="9">
        <v>1</v>
      </c>
      <c r="AC91" s="9">
        <v>1</v>
      </c>
      <c r="AD91" s="9">
        <v>1</v>
      </c>
    </row>
    <row r="93" x14ac:dyDescent="0.3">
      <c r="A93" s="4" t="s">
        <v>59</v>
      </c>
      <c r="B93" s="4" t="s">
        <v>92</v>
      </c>
      <c r="C93" s="4"/>
      <c r="D93" s="4" t="s">
        <v>2</v>
      </c>
      <c r="E93" s="10">
        <v>2025</v>
      </c>
      <c r="F93" s="10">
        <v>2026</v>
      </c>
      <c r="G93" s="10">
        <v>2027</v>
      </c>
      <c r="H93" s="10">
        <v>2028</v>
      </c>
      <c r="I93" s="10">
        <v>2029</v>
      </c>
      <c r="J93" s="10">
        <v>2030</v>
      </c>
      <c r="K93" s="10">
        <v>2031</v>
      </c>
      <c r="L93" s="10">
        <v>2032</v>
      </c>
      <c r="M93" s="10">
        <v>2033</v>
      </c>
      <c r="N93" s="10">
        <v>2034</v>
      </c>
      <c r="O93" s="10">
        <v>2035</v>
      </c>
      <c r="P93" s="10">
        <v>2036</v>
      </c>
      <c r="Q93" s="10">
        <v>2037</v>
      </c>
      <c r="R93" s="10">
        <v>2038</v>
      </c>
      <c r="S93" s="10">
        <v>2039</v>
      </c>
      <c r="T93" s="10">
        <v>2040</v>
      </c>
      <c r="U93" s="10">
        <v>2041</v>
      </c>
      <c r="V93" s="10">
        <v>2042</v>
      </c>
      <c r="W93" s="10">
        <v>2043</v>
      </c>
      <c r="X93" s="10">
        <v>2044</v>
      </c>
      <c r="Y93" s="10">
        <v>2045</v>
      </c>
      <c r="Z93" s="10">
        <v>2046</v>
      </c>
      <c r="AA93" s="10">
        <v>2047</v>
      </c>
      <c r="AB93" s="10">
        <v>2048</v>
      </c>
      <c r="AC93" s="10">
        <v>2049</v>
      </c>
      <c r="AD93" s="10">
        <v>2050</v>
      </c>
    </row>
    <row r="94" x14ac:dyDescent="0.3">
      <c r="A94" s="5" t="s">
        <v>60</v>
      </c>
      <c r="B94" s="5" t="s">
        <v>146</v>
      </c>
      <c r="C94" s="5" t="s">
        <v>103</v>
      </c>
      <c r="D94" s="5"/>
      <c r="E94" s="9">
        <v>1</v>
      </c>
      <c r="F94" s="9">
        <v>1.067571</v>
      </c>
      <c r="G94" s="9">
        <v>1.1397600000000001</v>
      </c>
      <c r="H94" s="9">
        <v>1.216888</v>
      </c>
      <c r="I94" s="9">
        <v>1.299296</v>
      </c>
      <c r="J94" s="9">
        <v>1.387348</v>
      </c>
      <c r="K94" s="9">
        <v>1.4814369999999999</v>
      </c>
      <c r="L94" s="9">
        <v>1.5819810000000001</v>
      </c>
      <c r="M94" s="9">
        <v>1.689427</v>
      </c>
      <c r="N94" s="9">
        <v>1.8042549999999999</v>
      </c>
      <c r="O94" s="9">
        <v>1.9269769999999999</v>
      </c>
      <c r="P94" s="9">
        <v>2.0581420000000001</v>
      </c>
      <c r="Q94" s="9">
        <v>2.1983380000000001</v>
      </c>
      <c r="R94" s="9">
        <v>2.3481920000000001</v>
      </c>
      <c r="S94" s="9">
        <v>2.5083769999999999</v>
      </c>
      <c r="T94" s="9">
        <v>2.6796139999999999</v>
      </c>
      <c r="U94" s="9">
        <v>2.862673</v>
      </c>
      <c r="V94" s="9">
        <v>3.0583800000000001</v>
      </c>
      <c r="W94" s="9">
        <v>3.267617</v>
      </c>
      <c r="X94" s="9">
        <v>3.49133</v>
      </c>
      <c r="Y94" s="9">
        <v>3.730531</v>
      </c>
      <c r="Z94" s="9">
        <v>3.9863029999999999</v>
      </c>
      <c r="AA94" s="9">
        <v>4.2598079999999996</v>
      </c>
      <c r="AB94" s="9">
        <v>4.5522869999999998</v>
      </c>
      <c r="AC94" s="9">
        <v>4.8650700000000002</v>
      </c>
      <c r="AD94" s="9">
        <v>5.1995820000000004</v>
      </c>
    </row>
    <row r="95" x14ac:dyDescent="0.3">
      <c r="A95" s="5" t="s">
        <v>61</v>
      </c>
      <c r="B95" s="5" t="s">
        <v>147</v>
      </c>
      <c r="C95" s="5" t="s">
        <v>80</v>
      </c>
      <c r="D95" s="5"/>
      <c r="E95" s="9">
        <v>1</v>
      </c>
      <c r="F95" s="9">
        <v>1.0700069999999999</v>
      </c>
      <c r="G95" s="9">
        <v>1.1449929999999999</v>
      </c>
      <c r="H95" s="9">
        <v>1.225317</v>
      </c>
      <c r="I95" s="9">
        <v>1.311364</v>
      </c>
      <c r="J95" s="9">
        <v>1.4035489999999999</v>
      </c>
      <c r="K95" s="9">
        <v>1.5023169999999999</v>
      </c>
      <c r="L95" s="9">
        <v>1.6081430000000001</v>
      </c>
      <c r="M95" s="9">
        <v>1.7215419999999999</v>
      </c>
      <c r="N95" s="9">
        <v>1.843062</v>
      </c>
      <c r="O95" s="9">
        <v>1.9732940000000001</v>
      </c>
      <c r="P95" s="9">
        <v>2.1128719999999999</v>
      </c>
      <c r="Q95" s="9">
        <v>2.2624770000000001</v>
      </c>
      <c r="R95" s="9">
        <v>2.4228390000000002</v>
      </c>
      <c r="S95" s="9">
        <v>2.5947429999999998</v>
      </c>
      <c r="T95" s="9">
        <v>2.7790339999999998</v>
      </c>
      <c r="U95" s="9">
        <v>2.9766149999999998</v>
      </c>
      <c r="V95" s="9">
        <v>3.1884610000000002</v>
      </c>
      <c r="W95" s="9">
        <v>3.4156140000000001</v>
      </c>
      <c r="X95" s="9">
        <v>3.6591990000000001</v>
      </c>
      <c r="Y95" s="9">
        <v>3.9204189999999999</v>
      </c>
      <c r="Z95" s="9">
        <v>4.2005710000000001</v>
      </c>
      <c r="AA95" s="9">
        <v>4.5010459999999997</v>
      </c>
      <c r="AB95" s="9">
        <v>4.82334</v>
      </c>
      <c r="AC95" s="9">
        <v>5.1690589999999998</v>
      </c>
      <c r="AD95" s="9">
        <v>5.5399289999999999</v>
      </c>
    </row>
    <row r="97" x14ac:dyDescent="0.3">
      <c r="A97" s="4" t="s">
        <v>139</v>
      </c>
      <c r="B97" s="4"/>
      <c r="C97" s="4"/>
      <c r="D97" s="4" t="s">
        <v>2</v>
      </c>
      <c r="E97" s="10">
        <v>2025</v>
      </c>
      <c r="F97" s="10">
        <v>2026</v>
      </c>
      <c r="G97" s="10">
        <v>2027</v>
      </c>
      <c r="H97" s="10">
        <v>2028</v>
      </c>
      <c r="I97" s="10">
        <v>2029</v>
      </c>
      <c r="J97" s="10">
        <v>2030</v>
      </c>
      <c r="K97" s="10">
        <v>2031</v>
      </c>
      <c r="L97" s="10">
        <v>2032</v>
      </c>
      <c r="M97" s="10">
        <v>2033</v>
      </c>
      <c r="N97" s="10">
        <v>2034</v>
      </c>
      <c r="O97" s="10">
        <v>2035</v>
      </c>
      <c r="P97" s="10">
        <v>2036</v>
      </c>
      <c r="Q97" s="10">
        <v>2037</v>
      </c>
      <c r="R97" s="10">
        <v>2038</v>
      </c>
      <c r="S97" s="10">
        <v>2039</v>
      </c>
      <c r="T97" s="10">
        <v>2040</v>
      </c>
      <c r="U97" s="10">
        <v>2041</v>
      </c>
      <c r="V97" s="10">
        <v>2042</v>
      </c>
      <c r="W97" s="10">
        <v>2043</v>
      </c>
      <c r="X97" s="10">
        <v>2044</v>
      </c>
      <c r="Y97" s="10">
        <v>2045</v>
      </c>
      <c r="Z97" s="10">
        <v>2046</v>
      </c>
      <c r="AA97" s="10">
        <v>2047</v>
      </c>
      <c r="AB97" s="10">
        <v>2048</v>
      </c>
      <c r="AC97" s="10">
        <v>2049</v>
      </c>
      <c r="AD97" s="10">
        <v>2050</v>
      </c>
    </row>
    <row r="98" x14ac:dyDescent="0.3">
      <c r="A98" s="13" t="s">
        <v>143</v>
      </c>
      <c r="B98" t="s">
        <v>142</v>
      </c>
      <c r="C98" s="5" t="s">
        <v>103</v>
      </c>
      <c r="D98" s="5"/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9">
        <v>1</v>
      </c>
      <c r="T98" s="9">
        <v>1</v>
      </c>
      <c r="U98" s="9">
        <v>1</v>
      </c>
      <c r="V98" s="9">
        <v>1</v>
      </c>
      <c r="W98" s="9">
        <v>1</v>
      </c>
      <c r="X98" s="9">
        <v>1</v>
      </c>
      <c r="Y98" s="9">
        <v>1</v>
      </c>
      <c r="Z98" s="9">
        <v>1</v>
      </c>
      <c r="AA98" s="9">
        <v>1</v>
      </c>
      <c r="AB98" s="9">
        <v>1</v>
      </c>
      <c r="AC98" s="9">
        <v>1</v>
      </c>
      <c r="AD98" s="9">
        <v>0</v>
      </c>
    </row>
    <row r="99" x14ac:dyDescent="0.3">
      <c r="A99" s="13" t="s">
        <v>140</v>
      </c>
      <c r="B99" s="5" t="s">
        <v>141</v>
      </c>
      <c r="C99" s="5" t="s">
        <v>103</v>
      </c>
      <c r="D99" s="5"/>
      <c r="E99" s="9">
        <v>0.14000000000000001</v>
      </c>
      <c r="F99" s="9">
        <v>0.14000000000000001</v>
      </c>
      <c r="G99" s="9">
        <v>0.14000000000000001</v>
      </c>
      <c r="H99" s="9">
        <v>0.14000000000000001</v>
      </c>
      <c r="I99" s="9">
        <v>0.14000000000000001</v>
      </c>
      <c r="J99" s="9">
        <v>0.14000000000000001</v>
      </c>
      <c r="K99" s="9">
        <v>0.14000000000000001</v>
      </c>
      <c r="L99" s="9">
        <v>0.14000000000000001</v>
      </c>
      <c r="M99" s="9">
        <v>0.14000000000000001</v>
      </c>
      <c r="N99" s="9">
        <v>0.14000000000000001</v>
      </c>
      <c r="O99" s="9">
        <v>0.14000000000000001</v>
      </c>
      <c r="P99" s="9">
        <v>0.14000000000000001</v>
      </c>
      <c r="Q99" s="9">
        <v>0.14000000000000001</v>
      </c>
      <c r="R99" s="9">
        <v>0.14000000000000001</v>
      </c>
      <c r="S99" s="9">
        <v>0.14000000000000001</v>
      </c>
      <c r="T99" s="9">
        <v>0.14000000000000001</v>
      </c>
      <c r="U99" s="9">
        <v>0.14000000000000001</v>
      </c>
      <c r="V99" s="9">
        <v>0.14000000000000001</v>
      </c>
      <c r="W99" s="9">
        <v>0.14000000000000001</v>
      </c>
      <c r="X99" s="9">
        <v>0.14000000000000001</v>
      </c>
      <c r="Y99" s="9">
        <v>0.14000000000000001</v>
      </c>
      <c r="Z99" s="9">
        <v>0.14000000000000001</v>
      </c>
      <c r="AA99" s="9">
        <v>0.14000000000000001</v>
      </c>
      <c r="AB99" s="9">
        <v>0.14000000000000001</v>
      </c>
      <c r="AC99" s="9">
        <v>0.14000000000000001</v>
      </c>
      <c r="AD99" s="9">
        <v>0.14000000000000001</v>
      </c>
    </row>
    <row r="100" x14ac:dyDescent="0.3">
      <c r="A100" s="13" t="s">
        <v>145</v>
      </c>
      <c r="B100" s="13" t="s">
        <v>144</v>
      </c>
      <c r="C100" s="5" t="s">
        <v>103</v>
      </c>
      <c r="D100" s="5"/>
      <c r="E100" s="9">
        <v>-3.8381578947368399E-2</v>
      </c>
      <c r="F100" s="9">
        <v>-3.8381578947368399E-2</v>
      </c>
      <c r="G100" s="9">
        <v>-3.8381578947368399E-2</v>
      </c>
      <c r="H100" s="9">
        <v>-3.8381578947368399E-2</v>
      </c>
      <c r="I100" s="9">
        <v>-3.8381578947368399E-2</v>
      </c>
      <c r="J100" s="9">
        <v>-3.8381578947368399E-2</v>
      </c>
      <c r="K100" s="9">
        <v>-3.8381578947368399E-2</v>
      </c>
      <c r="L100" s="9">
        <v>-3.8381578947368399E-2</v>
      </c>
      <c r="M100" s="9">
        <v>-3.8381578947368399E-2</v>
      </c>
      <c r="N100" s="9">
        <v>-3.8381578947368399E-2</v>
      </c>
      <c r="O100" s="9">
        <v>-3.8381578947368399E-2</v>
      </c>
      <c r="P100" s="9">
        <v>-3.8381578947368399E-2</v>
      </c>
      <c r="Q100" s="9">
        <v>-3.8381578947368399E-2</v>
      </c>
      <c r="R100" s="9">
        <v>-3.8381578947368399E-2</v>
      </c>
      <c r="S100" s="9">
        <v>-3.8381578947368399E-2</v>
      </c>
      <c r="T100" s="9">
        <v>-3.8381578947368399E-2</v>
      </c>
      <c r="U100" s="9">
        <v>-3.8381578947368399E-2</v>
      </c>
      <c r="V100" s="9">
        <v>-3.8381578947368399E-2</v>
      </c>
      <c r="W100" s="9">
        <v>-3.8381578947368399E-2</v>
      </c>
      <c r="X100" s="9">
        <v>-3.8381578947368399E-2</v>
      </c>
      <c r="Y100" s="9">
        <v>-3.8381578947368399E-2</v>
      </c>
      <c r="Z100" s="9">
        <v>-3.8381578947368399E-2</v>
      </c>
      <c r="AA100" s="9">
        <v>-3.8381578947368399E-2</v>
      </c>
      <c r="AB100" s="9">
        <v>-3.8381578947368399E-2</v>
      </c>
      <c r="AC100" s="9">
        <v>-3.8381578947368399E-2</v>
      </c>
      <c r="AD100" s="9">
        <v>-3.8381578947368399E-2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5D6D-90C7-4C54-90FC-AAB5B9C359F2}">
  <dimension ref="D10:E35"/>
  <sheetViews>
    <sheetView topLeftCell="A23" workbookViewId="0">
      <selection activeCell="D10" sqref="D10:E35"/>
    </sheetView>
  </sheetViews>
  <sheetFormatPr defaultRowHeight="14.4" x14ac:dyDescent="0.3"/>
  <sheetData>
    <row r="10" x14ac:dyDescent="0.3">
      <c r="D10">
        <v>1</v>
      </c>
      <c r="E10">
        <v>1</v>
      </c>
    </row>
    <row r="11" x14ac:dyDescent="0.3">
      <c r="D11">
        <v>1.007278020378457</v>
      </c>
      <c r="E11">
        <v>1.001823708206687</v>
      </c>
    </row>
    <row r="12" x14ac:dyDescent="0.3">
      <c r="D12">
        <v>1.0145560407569141</v>
      </c>
      <c r="E12">
        <v>1.003647416413374</v>
      </c>
    </row>
    <row r="13" x14ac:dyDescent="0.3">
      <c r="D13">
        <v>1.0218340611353711</v>
      </c>
      <c r="E13">
        <v>1.0054711246200609</v>
      </c>
    </row>
    <row r="14" x14ac:dyDescent="0.3">
      <c r="D14">
        <v>1.0291120815138282</v>
      </c>
      <c r="E14">
        <v>1.0072948328267479</v>
      </c>
    </row>
    <row r="15" x14ac:dyDescent="0.3">
      <c r="D15">
        <v>1.0363901018922852</v>
      </c>
      <c r="E15">
        <v>1.0091185410334349</v>
      </c>
    </row>
    <row r="16" x14ac:dyDescent="0.3">
      <c r="D16">
        <v>1.0366812227074236</v>
      </c>
      <c r="E16">
        <v>1.0212765957446814</v>
      </c>
    </row>
    <row r="17" x14ac:dyDescent="0.3">
      <c r="D17">
        <v>1.0369723435225617</v>
      </c>
      <c r="E17">
        <v>1.0334346504559278</v>
      </c>
    </row>
    <row r="18" x14ac:dyDescent="0.3">
      <c r="D18">
        <v>1.0372634643377001</v>
      </c>
      <c r="E18">
        <v>1.0455927051671732</v>
      </c>
    </row>
    <row r="19" x14ac:dyDescent="0.3">
      <c r="D19">
        <v>1.0375545851528385</v>
      </c>
      <c r="E19">
        <v>1.0577507598784197</v>
      </c>
    </row>
    <row r="20" x14ac:dyDescent="0.3">
      <c r="D20">
        <v>1.0378457059679767</v>
      </c>
      <c r="E20">
        <v>1.069908814589666</v>
      </c>
    </row>
    <row r="21" x14ac:dyDescent="0.3">
      <c r="D21">
        <v>1.0372634643376999</v>
      </c>
      <c r="E21">
        <v>1.0826747720364747</v>
      </c>
    </row>
    <row r="22" x14ac:dyDescent="0.3">
      <c r="D22">
        <v>1.0366812227074236</v>
      </c>
      <c r="E22">
        <v>1.0954407294832831</v>
      </c>
    </row>
    <row r="23" x14ac:dyDescent="0.3">
      <c r="D23">
        <v>1.0360989810771468</v>
      </c>
      <c r="E23">
        <v>1.1082066869300917</v>
      </c>
    </row>
    <row r="24" x14ac:dyDescent="0.3">
      <c r="D24">
        <v>1.0355167394468705</v>
      </c>
      <c r="E24">
        <v>1.1209726443769004</v>
      </c>
    </row>
    <row r="25" x14ac:dyDescent="0.3">
      <c r="D25">
        <v>1.0349344978165937</v>
      </c>
      <c r="E25">
        <v>1.1337386018237088</v>
      </c>
    </row>
    <row r="26" x14ac:dyDescent="0.3">
      <c r="D26">
        <v>1.0331877729257639</v>
      </c>
      <c r="E26">
        <v>1.145288753799393</v>
      </c>
    </row>
    <row r="27" x14ac:dyDescent="0.3">
      <c r="D27">
        <v>1.0314410480349345</v>
      </c>
      <c r="E27">
        <v>1.1568389057750763</v>
      </c>
    </row>
    <row r="28" x14ac:dyDescent="0.3">
      <c r="D28">
        <v>1.0296943231441047</v>
      </c>
      <c r="E28">
        <v>1.1683890577507605</v>
      </c>
    </row>
    <row r="29" x14ac:dyDescent="0.3">
      <c r="D29">
        <v>1.0279475982532751</v>
      </c>
      <c r="E29">
        <v>1.1799392097264438</v>
      </c>
    </row>
    <row r="30" x14ac:dyDescent="0.3">
      <c r="D30">
        <v>1.0262008733624455</v>
      </c>
      <c r="E30">
        <v>1.191489361702128</v>
      </c>
    </row>
    <row r="31" x14ac:dyDescent="0.3">
      <c r="D31">
        <v>1.022707423580786</v>
      </c>
      <c r="E31">
        <v>1.2006079027355627</v>
      </c>
    </row>
    <row r="32" x14ac:dyDescent="0.3">
      <c r="D32">
        <v>1.0192139737991266</v>
      </c>
      <c r="E32">
        <v>1.2097264437689976</v>
      </c>
    </row>
    <row r="33" x14ac:dyDescent="0.3">
      <c r="D33">
        <v>1.0157205240174672</v>
      </c>
      <c r="E33">
        <v>1.2188449848024319</v>
      </c>
    </row>
    <row r="34" x14ac:dyDescent="0.3">
      <c r="D34">
        <v>1.0122270742358077</v>
      </c>
      <c r="E34">
        <v>1.2279635258358668</v>
      </c>
    </row>
    <row r="35" x14ac:dyDescent="0.3">
      <c r="D35">
        <v>1.0087336244541485</v>
      </c>
      <c r="E35">
        <v>1.2370820668693012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workbookViewId="0">
      <pane xSplit="4" ySplit="9" topLeftCell="E10" activePane="bottomRight" state="frozenSplit"/>
      <selection pane="topRight" activeCell="E1" sqref="E1"/>
      <selection pane="bottomLeft" activeCell="A10" sqref="A10"/>
      <selection pane="bottomRight" sqref="A1:D1"/>
    </sheetView>
  </sheetViews>
  <sheetFormatPr defaultRowHeight="14.4" x14ac:dyDescent="0.3"/>
  <cols>
    <col min="1" max="1" width="52.6640625" customWidth="true"/>
    <col min="2" max="2" width="24.6640625" customWidth="true"/>
    <col min="3" max="3" width="30.6640625" customWidth="true"/>
    <col min="4" max="4" width="38.6640625" customWidth="true"/>
    <col min="5" max="30" width="5.109375" style="6" customWidth="true"/>
  </cols>
  <sheetData>
    <row r="1" ht="18" x14ac:dyDescent="0.35">
      <c r="A1" s="14" t="s">
        <v>119</v>
      </c>
      <c r="B1" s="15"/>
      <c r="C1" s="15"/>
      <c r="D1" s="15"/>
    </row>
    <row r="8" x14ac:dyDescent="0.3">
      <c r="A8" s="2" t="s">
        <v>1</v>
      </c>
      <c r="B8" s="2" t="s">
        <v>62</v>
      </c>
      <c r="C8" s="2" t="s">
        <v>63</v>
      </c>
      <c r="D8" s="2" t="s">
        <v>64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x14ac:dyDescent="0.3">
      <c r="D9" s="1" t="s">
        <v>2</v>
      </c>
      <c r="E9" s="8">
        <v>2025</v>
      </c>
      <c r="F9" s="8">
        <v>2026</v>
      </c>
      <c r="G9" s="8">
        <v>2027</v>
      </c>
      <c r="H9" s="8">
        <v>2028</v>
      </c>
      <c r="I9" s="8">
        <v>2029</v>
      </c>
      <c r="J9" s="8">
        <v>2030</v>
      </c>
      <c r="K9" s="8">
        <v>2031</v>
      </c>
      <c r="L9" s="8">
        <v>2032</v>
      </c>
      <c r="M9" s="8">
        <v>2033</v>
      </c>
      <c r="N9" s="8">
        <v>2034</v>
      </c>
      <c r="O9" s="8">
        <v>2035</v>
      </c>
      <c r="P9" s="8">
        <v>2036</v>
      </c>
      <c r="Q9" s="8">
        <v>2037</v>
      </c>
      <c r="R9" s="8">
        <v>2038</v>
      </c>
      <c r="S9" s="8">
        <v>2039</v>
      </c>
      <c r="T9" s="8">
        <v>2040</v>
      </c>
      <c r="U9" s="8">
        <v>2041</v>
      </c>
      <c r="V9" s="8">
        <v>2042</v>
      </c>
      <c r="W9" s="8">
        <v>2043</v>
      </c>
      <c r="X9" s="8">
        <v>2044</v>
      </c>
      <c r="Y9" s="8">
        <v>2045</v>
      </c>
      <c r="Z9" s="8">
        <v>2046</v>
      </c>
      <c r="AA9" s="8">
        <v>2047</v>
      </c>
      <c r="AB9" s="8">
        <v>2048</v>
      </c>
      <c r="AC9" s="8">
        <v>2049</v>
      </c>
      <c r="AD9" s="8">
        <v>2050</v>
      </c>
    </row>
    <row r="10" x14ac:dyDescent="0.3">
      <c r="A10" s="4" t="s">
        <v>120</v>
      </c>
      <c r="B10" s="4" t="s">
        <v>131</v>
      </c>
      <c r="C10" s="4" t="s">
        <v>113</v>
      </c>
      <c r="D10" s="4"/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</row>
    <row r="11" x14ac:dyDescent="0.3">
      <c r="D11" s="3" t="s">
        <v>2</v>
      </c>
      <c r="E11" s="10">
        <v>2025</v>
      </c>
      <c r="F11" s="10">
        <v>2026</v>
      </c>
      <c r="G11" s="10">
        <v>2027</v>
      </c>
      <c r="H11" s="10">
        <v>2028</v>
      </c>
      <c r="I11" s="10">
        <v>2029</v>
      </c>
      <c r="J11" s="10">
        <v>2030</v>
      </c>
      <c r="K11" s="10">
        <v>2031</v>
      </c>
      <c r="L11" s="10">
        <v>2032</v>
      </c>
      <c r="M11" s="10">
        <v>2033</v>
      </c>
      <c r="N11" s="10">
        <v>2034</v>
      </c>
      <c r="O11" s="10">
        <v>2035</v>
      </c>
      <c r="P11" s="10">
        <v>2036</v>
      </c>
      <c r="Q11" s="10">
        <v>2037</v>
      </c>
      <c r="R11" s="10">
        <v>2038</v>
      </c>
      <c r="S11" s="10">
        <v>2039</v>
      </c>
      <c r="T11" s="10">
        <v>2040</v>
      </c>
      <c r="U11" s="10">
        <v>2041</v>
      </c>
      <c r="V11" s="10">
        <v>2042</v>
      </c>
      <c r="W11" s="10">
        <v>2043</v>
      </c>
      <c r="X11" s="10">
        <v>2044</v>
      </c>
      <c r="Y11" s="10">
        <v>2045</v>
      </c>
      <c r="Z11" s="10">
        <v>2046</v>
      </c>
      <c r="AA11" s="10">
        <v>2047</v>
      </c>
      <c r="AB11" s="10">
        <v>2048</v>
      </c>
      <c r="AC11" s="10">
        <v>2049</v>
      </c>
      <c r="AD11" s="10">
        <v>2050</v>
      </c>
    </row>
    <row r="13" x14ac:dyDescent="0.3">
      <c r="A13" s="4" t="s">
        <v>121</v>
      </c>
      <c r="B13" s="4" t="s">
        <v>92</v>
      </c>
      <c r="C13" s="4"/>
      <c r="D13" s="4" t="s">
        <v>2</v>
      </c>
      <c r="E13" s="10">
        <v>2025</v>
      </c>
      <c r="F13" s="10">
        <v>2026</v>
      </c>
      <c r="G13" s="10">
        <v>2027</v>
      </c>
      <c r="H13" s="10">
        <v>2028</v>
      </c>
      <c r="I13" s="10">
        <v>2029</v>
      </c>
      <c r="J13" s="10">
        <v>2030</v>
      </c>
      <c r="K13" s="10">
        <v>2031</v>
      </c>
      <c r="L13" s="10">
        <v>2032</v>
      </c>
      <c r="M13" s="10">
        <v>2033</v>
      </c>
      <c r="N13" s="10">
        <v>2034</v>
      </c>
      <c r="O13" s="10">
        <v>2035</v>
      </c>
      <c r="P13" s="10">
        <v>2036</v>
      </c>
      <c r="Q13" s="10">
        <v>2037</v>
      </c>
      <c r="R13" s="10">
        <v>2038</v>
      </c>
      <c r="S13" s="10">
        <v>2039</v>
      </c>
      <c r="T13" s="10">
        <v>2040</v>
      </c>
      <c r="U13" s="10">
        <v>2041</v>
      </c>
      <c r="V13" s="10">
        <v>2042</v>
      </c>
      <c r="W13" s="10">
        <v>2043</v>
      </c>
      <c r="X13" s="10">
        <v>2044</v>
      </c>
      <c r="Y13" s="10">
        <v>2045</v>
      </c>
      <c r="Z13" s="10">
        <v>2046</v>
      </c>
      <c r="AA13" s="10">
        <v>2047</v>
      </c>
      <c r="AB13" s="10">
        <v>2048</v>
      </c>
      <c r="AC13" s="10">
        <v>2049</v>
      </c>
      <c r="AD13" s="10">
        <v>2050</v>
      </c>
    </row>
    <row r="14" x14ac:dyDescent="0.3">
      <c r="A14" s="5" t="s">
        <v>122</v>
      </c>
      <c r="B14" s="5" t="s">
        <v>132</v>
      </c>
      <c r="C14" s="5" t="s">
        <v>133</v>
      </c>
      <c r="D14" s="5"/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</row>
    <row r="16" x14ac:dyDescent="0.3">
      <c r="A16" s="4" t="s">
        <v>123</v>
      </c>
      <c r="B16" s="4" t="s">
        <v>92</v>
      </c>
      <c r="C16" s="4"/>
      <c r="D16" s="4" t="s">
        <v>2</v>
      </c>
      <c r="E16" s="10">
        <v>2025</v>
      </c>
      <c r="F16" s="10">
        <v>2026</v>
      </c>
      <c r="G16" s="10">
        <v>2027</v>
      </c>
      <c r="H16" s="10">
        <v>2028</v>
      </c>
      <c r="I16" s="10">
        <v>2029</v>
      </c>
      <c r="J16" s="10">
        <v>2030</v>
      </c>
      <c r="K16" s="10">
        <v>2031</v>
      </c>
      <c r="L16" s="10">
        <v>2032</v>
      </c>
      <c r="M16" s="10">
        <v>2033</v>
      </c>
      <c r="N16" s="10">
        <v>2034</v>
      </c>
      <c r="O16" s="10">
        <v>2035</v>
      </c>
      <c r="P16" s="10">
        <v>2036</v>
      </c>
      <c r="Q16" s="10">
        <v>2037</v>
      </c>
      <c r="R16" s="10">
        <v>2038</v>
      </c>
      <c r="S16" s="10">
        <v>2039</v>
      </c>
      <c r="T16" s="10">
        <v>2040</v>
      </c>
      <c r="U16" s="10">
        <v>2041</v>
      </c>
      <c r="V16" s="10">
        <v>2042</v>
      </c>
      <c r="W16" s="10">
        <v>2043</v>
      </c>
      <c r="X16" s="10">
        <v>2044</v>
      </c>
      <c r="Y16" s="10">
        <v>2045</v>
      </c>
      <c r="Z16" s="10">
        <v>2046</v>
      </c>
      <c r="AA16" s="10">
        <v>2047</v>
      </c>
      <c r="AB16" s="10">
        <v>2048</v>
      </c>
      <c r="AC16" s="10">
        <v>2049</v>
      </c>
      <c r="AD16" s="10">
        <v>2050</v>
      </c>
    </row>
    <row r="17" x14ac:dyDescent="0.3">
      <c r="A17" s="5" t="s">
        <v>124</v>
      </c>
      <c r="B17" s="5" t="s">
        <v>109</v>
      </c>
      <c r="C17" s="5" t="s">
        <v>97</v>
      </c>
      <c r="D17" s="5"/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9">
        <v>1</v>
      </c>
      <c r="AD17" s="9">
        <v>1</v>
      </c>
    </row>
    <row r="19" x14ac:dyDescent="0.3">
      <c r="A19" s="4" t="s">
        <v>59</v>
      </c>
      <c r="B19" s="4" t="s">
        <v>92</v>
      </c>
      <c r="C19" s="4"/>
      <c r="D19" s="4" t="s">
        <v>2</v>
      </c>
      <c r="E19" s="10">
        <v>2025</v>
      </c>
      <c r="F19" s="10">
        <v>2026</v>
      </c>
      <c r="G19" s="10">
        <v>2027</v>
      </c>
      <c r="H19" s="10">
        <v>2028</v>
      </c>
      <c r="I19" s="10">
        <v>2029</v>
      </c>
      <c r="J19" s="10">
        <v>2030</v>
      </c>
      <c r="K19" s="10">
        <v>2031</v>
      </c>
      <c r="L19" s="10">
        <v>2032</v>
      </c>
      <c r="M19" s="10">
        <v>2033</v>
      </c>
      <c r="N19" s="10">
        <v>2034</v>
      </c>
      <c r="O19" s="10">
        <v>2035</v>
      </c>
      <c r="P19" s="10">
        <v>2036</v>
      </c>
      <c r="Q19" s="10">
        <v>2037</v>
      </c>
      <c r="R19" s="10">
        <v>2038</v>
      </c>
      <c r="S19" s="10">
        <v>2039</v>
      </c>
      <c r="T19" s="10">
        <v>2040</v>
      </c>
      <c r="U19" s="10">
        <v>2041</v>
      </c>
      <c r="V19" s="10">
        <v>2042</v>
      </c>
      <c r="W19" s="10">
        <v>2043</v>
      </c>
      <c r="X19" s="10">
        <v>2044</v>
      </c>
      <c r="Y19" s="10">
        <v>2045</v>
      </c>
      <c r="Z19" s="10">
        <v>2046</v>
      </c>
      <c r="AA19" s="10">
        <v>2047</v>
      </c>
      <c r="AB19" s="10">
        <v>2048</v>
      </c>
      <c r="AC19" s="10">
        <v>2049</v>
      </c>
      <c r="AD19" s="10">
        <v>2050</v>
      </c>
    </row>
    <row r="20" x14ac:dyDescent="0.3">
      <c r="A20" s="5" t="s">
        <v>60</v>
      </c>
      <c r="B20" s="5" t="s">
        <v>118</v>
      </c>
      <c r="C20" s="5" t="s">
        <v>97</v>
      </c>
      <c r="D20" s="5"/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1</v>
      </c>
    </row>
    <row r="22" x14ac:dyDescent="0.3">
      <c r="A22" s="4" t="s">
        <v>53</v>
      </c>
      <c r="B22" s="4" t="s">
        <v>92</v>
      </c>
      <c r="C22" s="4"/>
      <c r="D22" s="4" t="s">
        <v>2</v>
      </c>
      <c r="E22" s="10">
        <v>2025</v>
      </c>
      <c r="F22" s="10">
        <v>2026</v>
      </c>
      <c r="G22" s="10">
        <v>2027</v>
      </c>
      <c r="H22" s="10">
        <v>2028</v>
      </c>
      <c r="I22" s="10">
        <v>2029</v>
      </c>
      <c r="J22" s="10">
        <v>2030</v>
      </c>
      <c r="K22" s="10">
        <v>2031</v>
      </c>
      <c r="L22" s="10">
        <v>2032</v>
      </c>
      <c r="M22" s="10">
        <v>2033</v>
      </c>
      <c r="N22" s="10">
        <v>2034</v>
      </c>
      <c r="O22" s="10">
        <v>2035</v>
      </c>
      <c r="P22" s="10">
        <v>2036</v>
      </c>
      <c r="Q22" s="10">
        <v>2037</v>
      </c>
      <c r="R22" s="10">
        <v>2038</v>
      </c>
      <c r="S22" s="10">
        <v>2039</v>
      </c>
      <c r="T22" s="10">
        <v>2040</v>
      </c>
      <c r="U22" s="10">
        <v>2041</v>
      </c>
      <c r="V22" s="10">
        <v>2042</v>
      </c>
      <c r="W22" s="10">
        <v>2043</v>
      </c>
      <c r="X22" s="10">
        <v>2044</v>
      </c>
      <c r="Y22" s="10">
        <v>2045</v>
      </c>
      <c r="Z22" s="10">
        <v>2046</v>
      </c>
      <c r="AA22" s="10">
        <v>2047</v>
      </c>
      <c r="AB22" s="10">
        <v>2048</v>
      </c>
      <c r="AC22" s="10">
        <v>2049</v>
      </c>
      <c r="AD22" s="10">
        <v>2050</v>
      </c>
    </row>
    <row r="23" x14ac:dyDescent="0.3">
      <c r="A23" s="5" t="s">
        <v>125</v>
      </c>
      <c r="B23" s="5" t="s">
        <v>112</v>
      </c>
      <c r="C23" s="5" t="s">
        <v>103</v>
      </c>
      <c r="D23" s="5"/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9">
        <v>1</v>
      </c>
      <c r="X23" s="9">
        <v>1</v>
      </c>
      <c r="Y23" s="9">
        <v>1</v>
      </c>
      <c r="Z23" s="9">
        <v>1</v>
      </c>
      <c r="AA23" s="9">
        <v>1</v>
      </c>
      <c r="AB23" s="9">
        <v>1</v>
      </c>
      <c r="AC23" s="9">
        <v>1</v>
      </c>
      <c r="AD23" s="9">
        <v>1</v>
      </c>
    </row>
    <row r="24" x14ac:dyDescent="0.3">
      <c r="A24" s="5" t="s">
        <v>126</v>
      </c>
      <c r="B24" s="5" t="s">
        <v>114</v>
      </c>
      <c r="C24" s="5" t="s">
        <v>103</v>
      </c>
      <c r="D24" s="5"/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1</v>
      </c>
    </row>
    <row r="25" x14ac:dyDescent="0.3">
      <c r="A25" s="5" t="s">
        <v>127</v>
      </c>
      <c r="B25" s="5" t="s">
        <v>115</v>
      </c>
      <c r="C25" s="5" t="s">
        <v>103</v>
      </c>
      <c r="D25" s="5"/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9">
        <v>1</v>
      </c>
    </row>
    <row r="26" x14ac:dyDescent="0.3">
      <c r="A26" s="5" t="s">
        <v>128</v>
      </c>
      <c r="B26" s="5" t="s">
        <v>116</v>
      </c>
      <c r="C26" s="5" t="s">
        <v>103</v>
      </c>
      <c r="D26" s="5"/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9">
        <v>1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9">
        <v>1</v>
      </c>
    </row>
    <row r="27" x14ac:dyDescent="0.3">
      <c r="A27" s="5" t="s">
        <v>129</v>
      </c>
      <c r="B27" s="5" t="s">
        <v>117</v>
      </c>
      <c r="C27" s="5" t="s">
        <v>103</v>
      </c>
      <c r="D27" s="5"/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9">
        <v>1</v>
      </c>
    </row>
    <row r="29" x14ac:dyDescent="0.3">
      <c r="A29" s="4" t="s">
        <v>130</v>
      </c>
      <c r="B29" s="4" t="s">
        <v>92</v>
      </c>
      <c r="C29" s="4"/>
      <c r="D29" s="4" t="s">
        <v>2</v>
      </c>
      <c r="E29" s="10">
        <v>2025</v>
      </c>
      <c r="F29" s="10">
        <v>2026</v>
      </c>
      <c r="G29" s="10">
        <v>2027</v>
      </c>
      <c r="H29" s="10">
        <v>2028</v>
      </c>
      <c r="I29" s="10">
        <v>2029</v>
      </c>
      <c r="J29" s="10">
        <v>2030</v>
      </c>
      <c r="K29" s="10">
        <v>2031</v>
      </c>
      <c r="L29" s="10">
        <v>2032</v>
      </c>
      <c r="M29" s="10">
        <v>2033</v>
      </c>
      <c r="N29" s="10">
        <v>2034</v>
      </c>
      <c r="O29" s="10">
        <v>2035</v>
      </c>
      <c r="P29" s="10">
        <v>2036</v>
      </c>
      <c r="Q29" s="10">
        <v>2037</v>
      </c>
      <c r="R29" s="10">
        <v>2038</v>
      </c>
      <c r="S29" s="10">
        <v>2039</v>
      </c>
      <c r="T29" s="10">
        <v>2040</v>
      </c>
      <c r="U29" s="10">
        <v>2041</v>
      </c>
      <c r="V29" s="10">
        <v>2042</v>
      </c>
      <c r="W29" s="10">
        <v>2043</v>
      </c>
      <c r="X29" s="10">
        <v>2044</v>
      </c>
      <c r="Y29" s="10">
        <v>2045</v>
      </c>
      <c r="Z29" s="10">
        <v>2046</v>
      </c>
      <c r="AA29" s="10">
        <v>2047</v>
      </c>
      <c r="AB29" s="10">
        <v>2048</v>
      </c>
      <c r="AC29" s="10">
        <v>2049</v>
      </c>
      <c r="AD29" s="10">
        <v>2050</v>
      </c>
    </row>
    <row r="30" x14ac:dyDescent="0.3">
      <c r="A30" s="5" t="s">
        <v>21</v>
      </c>
      <c r="B30" s="5" t="s">
        <v>85</v>
      </c>
      <c r="C30" s="5" t="s">
        <v>113</v>
      </c>
      <c r="D30" s="5"/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</row>
    <row r="31" x14ac:dyDescent="0.3">
      <c r="A31" s="5" t="s">
        <v>22</v>
      </c>
      <c r="B31" s="5" t="s">
        <v>86</v>
      </c>
      <c r="C31" s="5" t="s">
        <v>113</v>
      </c>
      <c r="D31" s="5"/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9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Sheet1</vt:lpstr>
      <vt:lpstr>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 Schult</cp:lastModifiedBy>
  <dcterms:modified xsi:type="dcterms:W3CDTF">2026-06-08T01:01:10Z</dcterms:modified>
</cp:coreProperties>
</file>