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ul\Documents\GitHub\DGE-METRIC\ExcelFiles\"/>
    </mc:Choice>
  </mc:AlternateContent>
  <xr:revisionPtr revIDLastSave="0" documentId="13_ncr:1_{D4D5B9E7-518A-4378-AC8D-188D8EC5406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ntent" sheetId="2" r:id="rId1"/>
    <sheet name="Baselin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E5" i="1"/>
  <c r="BE4" i="1"/>
  <c r="BE3" i="1"/>
  <c r="BE2" i="1"/>
</calcChain>
</file>

<file path=xl/sharedStrings.xml><?xml version="1.0" encoding="utf-8"?>
<sst xmlns="http://schemas.openxmlformats.org/spreadsheetml/2006/main" count="75" uniqueCount="74">
  <si>
    <t>Sheets</t>
  </si>
  <si>
    <t>Regions</t>
  </si>
  <si>
    <t>Sectors</t>
  </si>
  <si>
    <t>a sheet for the baseline scenario growth paths</t>
  </si>
  <si>
    <t>VNM</t>
  </si>
  <si>
    <t>Primary</t>
  </si>
  <si>
    <t>Fossil</t>
  </si>
  <si>
    <t>Renewables</t>
  </si>
  <si>
    <t>Secondary</t>
  </si>
  <si>
    <t>Tertiary</t>
  </si>
  <si>
    <t>Time</t>
  </si>
  <si>
    <t>Year</t>
  </si>
  <si>
    <t>exo_LF_1</t>
  </si>
  <si>
    <t>exo_NLF_1</t>
  </si>
  <si>
    <t>gY_1_1</t>
  </si>
  <si>
    <t>gY_2_1</t>
  </si>
  <si>
    <t>gY_3_1</t>
  </si>
  <si>
    <t>gY_4_1</t>
  </si>
  <si>
    <t>gY_5_1</t>
  </si>
  <si>
    <t>gN_1_1</t>
  </si>
  <si>
    <t>gN_2_1</t>
  </si>
  <si>
    <t>gN_3_1</t>
  </si>
  <si>
    <t>gN_4_1</t>
  </si>
  <si>
    <t>gN_5_1</t>
  </si>
  <si>
    <t>idx_LF_1</t>
  </si>
  <si>
    <t>idx_NLF_1</t>
  </si>
  <si>
    <t>exo_E_1_1</t>
  </si>
  <si>
    <t>exo_E_2_1</t>
  </si>
  <si>
    <t>exo_E_3_1</t>
  </si>
  <si>
    <t>exo_E_4_1</t>
  </si>
  <si>
    <t>exo_E_5_1</t>
  </si>
  <si>
    <t>exo_Q_2_1</t>
  </si>
  <si>
    <t>exo_X_2_1</t>
  </si>
  <si>
    <t>exo_K_G_1_1</t>
  </si>
  <si>
    <t>exo_K_G_2_1</t>
  </si>
  <si>
    <t>exo_K_G_3_1</t>
  </si>
  <si>
    <t>exo_K_G_4_1</t>
  </si>
  <si>
    <t>exo_K_G_5_1</t>
  </si>
  <si>
    <t>exo_targetIY_2_1</t>
  </si>
  <si>
    <t>exo_targetIY_3_1</t>
  </si>
  <si>
    <t>exo_lTargetInv_2_1</t>
  </si>
  <si>
    <t>exo_lTargetInv_3_1</t>
  </si>
  <si>
    <t>exo_P_K_1_1</t>
  </si>
  <si>
    <t>exo_P_K_2_1</t>
  </si>
  <si>
    <t>exo_P_K_3_1</t>
  </si>
  <si>
    <t>exo_P_K_4_1</t>
  </si>
  <si>
    <t>exo_P_K_5_1</t>
  </si>
  <si>
    <t>exo_r_G_1_1</t>
  </si>
  <si>
    <t>exo_r_G_2_1</t>
  </si>
  <si>
    <t>exo_r_G_3_1</t>
  </si>
  <si>
    <t>exo_r_G_4_1</t>
  </si>
  <si>
    <t>exo_r_G_5_1</t>
  </si>
  <si>
    <t>exo_PE</t>
  </si>
  <si>
    <t>exo_PE_1</t>
  </si>
  <si>
    <t>exo_AI_1_1_2</t>
  </si>
  <si>
    <t>exo_AI_2_1_2</t>
  </si>
  <si>
    <t>exo_AI_3_1_2</t>
  </si>
  <si>
    <t>exo_AI_4_1_2</t>
  </si>
  <si>
    <t>exo_AI_5_1_2</t>
  </si>
  <si>
    <t>exo_lFDIShare_3_1</t>
  </si>
  <si>
    <t>exo_sFDIShare_3_1</t>
  </si>
  <si>
    <t>exo_r_FDI_3_1</t>
  </si>
  <si>
    <t>exo_GA_4_1</t>
  </si>
  <si>
    <t>exo_GA_5_1</t>
  </si>
  <si>
    <t>exo_lAddEE_4_1</t>
  </si>
  <si>
    <t>exo_lAddEE_5_1</t>
  </si>
  <si>
    <t>exo_PVEff_1_2</t>
  </si>
  <si>
    <t>idx_PV_Res_1</t>
  </si>
  <si>
    <t>exo_PV_1</t>
  </si>
  <si>
    <t>idx_GA_4_1_plan</t>
  </si>
  <si>
    <t>idx_GA_5_1_plan</t>
  </si>
  <si>
    <t>idx_PV_1_plan</t>
  </si>
  <si>
    <t>idx_PV_1_plan_inv</t>
  </si>
  <si>
    <t>exo_PV_1_2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</si>
</sst>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u/>
      <sz val="11"/>
      <color theme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85F9A-C1BA-4D87-AC99-FD6D79D12D17}">
  <dimension ref="A1:C10"/>
  <sheetViews>
    <sheetView workbookViewId="0">
      <selection sqref="A1:XFD1048576"/>
    </sheetView>
  </sheetViews>
  <sheetFormatPr defaultRowHeight="14.4" x14ac:dyDescent="0.3"/>
  <cols>
    <col min="1" max="1" width="8.5546875" bestFit="1" customWidth="1"/>
    <col min="2" max="2" width="42.88671875" bestFit="1" customWidth="1"/>
  </cols>
  <sheetData>
    <row r="1" spans="1:3" x14ac:dyDescent="0.3">
      <c r="A1" s="2" t="s">
        <v>0</v>
      </c>
      <c r="B1" s="2"/>
      <c r="C1" s="2"/>
    </row>
    <row r="2" spans="1:3" x14ac:dyDescent="0.3">
      <c r="A2" s="1" t="str">
        <f>HYPERLINK("#'Baseline'!A1","Baseline")</f>
        <v>Baseline</v>
      </c>
      <c r="B2" t="s">
        <v>3</v>
      </c>
    </row>
    <row r="3" spans="1:3" x14ac:dyDescent="0.3">
      <c r="A3" t="s">
        <v>1</v>
      </c>
    </row>
    <row r="4" spans="1:3" x14ac:dyDescent="0.3">
      <c r="A4">
        <v>1</v>
      </c>
      <c r="B4" t="s">
        <v>4</v>
      </c>
    </row>
    <row r="5" spans="1:3" x14ac:dyDescent="0.3">
      <c r="A5" t="s">
        <v>2</v>
      </c>
    </row>
    <row r="6" spans="1:3" x14ac:dyDescent="0.3">
      <c r="A6">
        <v>1</v>
      </c>
      <c r="B6" t="s">
        <v>5</v>
      </c>
    </row>
    <row r="7" spans="1:3" x14ac:dyDescent="0.3">
      <c r="A7">
        <v>2</v>
      </c>
      <c r="B7" t="s">
        <v>6</v>
      </c>
    </row>
    <row r="8" spans="1:3" x14ac:dyDescent="0.3">
      <c r="A8">
        <v>3</v>
      </c>
      <c r="B8" t="s">
        <v>7</v>
      </c>
    </row>
    <row r="9" spans="1:3" x14ac:dyDescent="0.3">
      <c r="A9">
        <v>4</v>
      </c>
      <c r="B9" t="s">
        <v>8</v>
      </c>
    </row>
    <row r="10" spans="1:3" x14ac:dyDescent="0.3">
      <c r="A10">
        <v>5</v>
      </c>
      <c r="B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6"/>
  <sheetViews>
    <sheetView tabSelected="1" topLeftCell="AG1" workbookViewId="0">
      <selection activeCell="BF1" sqref="BF1:BF1048576"/>
    </sheetView>
  </sheetViews>
  <sheetFormatPr defaultRowHeight="14.4" x14ac:dyDescent="0.3"/>
  <cols>
    <col min="1" max="1" width="5.44140625" bestFit="1" customWidth="1"/>
    <col min="2" max="2" width="5" bestFit="1" customWidth="1"/>
    <col min="3" max="3" width="13.6640625" bestFit="1" customWidth="1"/>
    <col min="4" max="4" width="14.6640625" bestFit="1" customWidth="1"/>
    <col min="5" max="6" width="12.6640625" bestFit="1" customWidth="1"/>
    <col min="7" max="9" width="11.6640625" bestFit="1" customWidth="1"/>
    <col min="10" max="14" width="12.6640625" bestFit="1" customWidth="1"/>
    <col min="15" max="17" width="2.109375" customWidth="1"/>
    <col min="18" max="18" width="14.6640625" customWidth="1"/>
    <col min="19" max="21" width="2.109375" customWidth="1"/>
    <col min="22" max="22" width="14.33203125" customWidth="1"/>
    <col min="23" max="23" width="12.33203125" customWidth="1"/>
    <col min="24" max="24" width="2.109375" customWidth="1"/>
    <col min="25" max="26" width="12.6640625" customWidth="1"/>
    <col min="27" max="28" width="2.109375" customWidth="1"/>
    <col min="29" max="30" width="13.6640625" customWidth="1"/>
    <col min="31" max="38" width="2.109375" customWidth="1"/>
    <col min="39" max="39" width="7.33203125" customWidth="1"/>
    <col min="40" max="47" width="2.109375" customWidth="1"/>
    <col min="48" max="49" width="13.6640625" customWidth="1"/>
    <col min="50" max="50" width="2.109375" customWidth="1"/>
    <col min="51" max="51" width="4.6640625" customWidth="1"/>
    <col min="52" max="52" width="14.33203125" customWidth="1"/>
    <col min="53" max="54" width="13.6640625" customWidth="1"/>
    <col min="55" max="56" width="2.109375" customWidth="1"/>
    <col min="58" max="58" width="13.6640625" customWidth="1"/>
    <col min="59" max="59" width="11.6640625" customWidth="1"/>
    <col min="60" max="60" width="14.6640625" customWidth="1"/>
    <col min="61" max="64" width="11.6640625" customWidth="1"/>
    <col min="65" max="65" width="8.6640625" customWidth="1"/>
  </cols>
  <sheetData>
    <row r="1" spans="1:65" x14ac:dyDescent="0.3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3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53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</row>
    <row r="2" spans="1:65" x14ac:dyDescent="0.3">
      <c r="A2">
        <v>2</v>
      </c>
      <c r="B2">
        <v>2026</v>
      </c>
      <c r="C2">
        <v>1.3047225968583029E-2</v>
      </c>
      <c r="D2">
        <v>2.2335684435685569E-3</v>
      </c>
      <c r="E2">
        <v>1.0518321404802085</v>
      </c>
      <c r="F2">
        <v>1.0418834609278638</v>
      </c>
      <c r="G2">
        <v>1.2767703525063747</v>
      </c>
      <c r="H2">
        <v>1.1480851173209274</v>
      </c>
      <c r="I2">
        <v>1.082960204499217</v>
      </c>
      <c r="J2">
        <v>0.90856621698233642</v>
      </c>
      <c r="K2">
        <v>0.93792454302218076</v>
      </c>
      <c r="L2">
        <v>1.9886266319374539</v>
      </c>
      <c r="M2">
        <v>0.99676853238615093</v>
      </c>
      <c r="N2">
        <v>1.0385038245745817</v>
      </c>
      <c r="O2">
        <v>1</v>
      </c>
      <c r="P2">
        <v>1</v>
      </c>
      <c r="Q2">
        <v>0</v>
      </c>
      <c r="R2">
        <v>4.8790164169432049E-2</v>
      </c>
      <c r="S2">
        <v>0</v>
      </c>
      <c r="T2">
        <v>0</v>
      </c>
      <c r="U2">
        <v>0</v>
      </c>
      <c r="V2">
        <v>0</v>
      </c>
      <c r="W2">
        <v>-1.3862943611198906</v>
      </c>
      <c r="X2">
        <v>0</v>
      </c>
      <c r="Y2">
        <v>0.54849813334586273</v>
      </c>
      <c r="Z2">
        <v>0.31998896547964689</v>
      </c>
      <c r="AA2">
        <v>0</v>
      </c>
      <c r="AB2">
        <v>0</v>
      </c>
      <c r="AC2">
        <v>5.926393469660142E-2</v>
      </c>
      <c r="AD2">
        <v>9.4975655719391081E-2</v>
      </c>
      <c r="AE2">
        <v>1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-6.7500000000000004E-2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5.0000000000000001E-3</v>
      </c>
      <c r="AW2">
        <v>0.02</v>
      </c>
      <c r="AX2">
        <v>1</v>
      </c>
      <c r="AY2">
        <v>0.14000000000000001</v>
      </c>
      <c r="AZ2">
        <v>-3.8381578947368399E-2</v>
      </c>
      <c r="BA2">
        <v>4.2000000000000003E-2</v>
      </c>
      <c r="BB2">
        <v>2.8000000000000011E-2</v>
      </c>
      <c r="BC2">
        <v>1</v>
      </c>
      <c r="BD2">
        <v>1</v>
      </c>
      <c r="BE2">
        <f>0.01*A2</f>
        <v>0.02</v>
      </c>
      <c r="BF2">
        <v>6.7665190508490347E-2</v>
      </c>
      <c r="BG2">
        <v>1</v>
      </c>
      <c r="BH2">
        <v>1.2999999999999999E-3</v>
      </c>
      <c r="BI2">
        <v>1</v>
      </c>
      <c r="BJ2">
        <v>1</v>
      </c>
      <c r="BK2">
        <v>1</v>
      </c>
      <c r="BL2">
        <v>1</v>
      </c>
      <c r="BM2">
        <v>1.067571</v>
      </c>
    </row>
    <row r="3" spans="1:65" x14ac:dyDescent="0.3">
      <c r="A3">
        <v>3</v>
      </c>
      <c r="B3">
        <v>2027</v>
      </c>
      <c r="C3">
        <v>2.5749945750924989E-2</v>
      </c>
      <c r="D3">
        <v>4.3649794513741071E-3</v>
      </c>
      <c r="E3">
        <v>1.0496263296845247</v>
      </c>
      <c r="F3">
        <v>1.038641704781053</v>
      </c>
      <c r="G3">
        <v>1.252296289912513</v>
      </c>
      <c r="H3">
        <v>1.1460711738659657</v>
      </c>
      <c r="I3">
        <v>1.0826920924951913</v>
      </c>
      <c r="J3">
        <v>0.89936475591031018</v>
      </c>
      <c r="K3">
        <v>0.93381615030799892</v>
      </c>
      <c r="L3">
        <v>1.4971403963217909</v>
      </c>
      <c r="M3">
        <v>0.99675805614959212</v>
      </c>
      <c r="N3">
        <v>1.0370762472544142</v>
      </c>
      <c r="O3">
        <v>1</v>
      </c>
      <c r="P3">
        <v>1</v>
      </c>
      <c r="Q3">
        <v>0</v>
      </c>
      <c r="R3">
        <v>7.8348966410976315E-2</v>
      </c>
      <c r="S3">
        <v>0</v>
      </c>
      <c r="T3">
        <v>0</v>
      </c>
      <c r="U3">
        <v>0</v>
      </c>
      <c r="V3">
        <v>0</v>
      </c>
      <c r="W3">
        <v>-2.7725887222397811</v>
      </c>
      <c r="X3">
        <v>0</v>
      </c>
      <c r="Y3">
        <v>1.1490556516611827</v>
      </c>
      <c r="Z3">
        <v>2.6423265652528665</v>
      </c>
      <c r="AA3">
        <v>0</v>
      </c>
      <c r="AB3">
        <v>0</v>
      </c>
      <c r="AC3">
        <v>5.8114796123361408E-2</v>
      </c>
      <c r="AD3">
        <v>8.8756677003248075E-2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-6.7500000000000004E-2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1.339955161288504E-2</v>
      </c>
      <c r="AW3">
        <v>4.2907013246408846E-2</v>
      </c>
      <c r="AX3">
        <v>1</v>
      </c>
      <c r="AY3">
        <v>0.14000000000000001</v>
      </c>
      <c r="AZ3">
        <v>-3.8381578947368399E-2</v>
      </c>
      <c r="BA3">
        <v>5.0599116510215397E-2</v>
      </c>
      <c r="BB3">
        <v>3.3732744340143547E-2</v>
      </c>
      <c r="BC3">
        <v>1</v>
      </c>
      <c r="BD3">
        <v>1</v>
      </c>
      <c r="BE3">
        <f t="shared" ref="BE3:BE26" si="0">0.01*A3</f>
        <v>0.03</v>
      </c>
      <c r="BF3">
        <v>0.13539852345039727</v>
      </c>
      <c r="BG3">
        <v>2.4356709000552055</v>
      </c>
      <c r="BH3">
        <v>3.1663721700717672E-3</v>
      </c>
      <c r="BI3">
        <v>1.143567090005523</v>
      </c>
      <c r="BJ3">
        <v>1.1435670900055206</v>
      </c>
      <c r="BK3">
        <v>1.1435670900055217</v>
      </c>
      <c r="BL3">
        <v>2.4356709000552166</v>
      </c>
      <c r="BM3">
        <v>1.1397600000000001</v>
      </c>
    </row>
    <row r="4" spans="1:65" x14ac:dyDescent="0.3">
      <c r="A4">
        <v>4</v>
      </c>
      <c r="B4">
        <v>2028</v>
      </c>
      <c r="C4">
        <v>3.797558985305842E-2</v>
      </c>
      <c r="D4">
        <v>6.2338654224300839E-3</v>
      </c>
      <c r="E4">
        <v>1.0472087963307122</v>
      </c>
      <c r="F4">
        <v>1.0350169317964475</v>
      </c>
      <c r="G4">
        <v>1.2337749862019221</v>
      </c>
      <c r="H4">
        <v>1.1442191483462696</v>
      </c>
      <c r="I4">
        <v>1.0824154084182764</v>
      </c>
      <c r="J4">
        <v>0.88810408298929855</v>
      </c>
      <c r="K4">
        <v>0.9291253961819228</v>
      </c>
      <c r="L4">
        <v>1.3320599708238297</v>
      </c>
      <c r="M4">
        <v>0.99674751176536147</v>
      </c>
      <c r="N4">
        <v>1.0357507438364062</v>
      </c>
      <c r="O4">
        <v>1</v>
      </c>
      <c r="P4">
        <v>1</v>
      </c>
      <c r="Q4">
        <v>0</v>
      </c>
      <c r="R4">
        <v>9.8151593707156065E-2</v>
      </c>
      <c r="S4">
        <v>0</v>
      </c>
      <c r="T4">
        <v>0</v>
      </c>
      <c r="U4">
        <v>0</v>
      </c>
      <c r="V4">
        <v>0</v>
      </c>
      <c r="W4">
        <v>-4.1588830833596715</v>
      </c>
      <c r="X4">
        <v>0</v>
      </c>
      <c r="Y4">
        <v>1.2247851922799899</v>
      </c>
      <c r="Z4">
        <v>2.6699148012460974</v>
      </c>
      <c r="AA4">
        <v>0</v>
      </c>
      <c r="AB4">
        <v>0</v>
      </c>
      <c r="AC4">
        <v>5.6684807251895591E-2</v>
      </c>
      <c r="AD4">
        <v>8.2883498915499787E-2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-6.7500000000000004E-2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2.600784707266432E-2</v>
      </c>
      <c r="AW4">
        <v>6.9407794021680402E-2</v>
      </c>
      <c r="AX4">
        <v>1</v>
      </c>
      <c r="AY4">
        <v>0.14000000000000001</v>
      </c>
      <c r="AZ4">
        <v>-3.8381578947368399E-2</v>
      </c>
      <c r="BA4">
        <v>6.4732744340143561E-2</v>
      </c>
      <c r="BB4">
        <v>4.315516289342905E-2</v>
      </c>
      <c r="BC4">
        <v>1</v>
      </c>
      <c r="BD4">
        <v>1</v>
      </c>
      <c r="BE4">
        <f t="shared" si="0"/>
        <v>0.04</v>
      </c>
      <c r="BF4">
        <v>0.2031995860302872</v>
      </c>
      <c r="BG4">
        <v>3.9983434566537923</v>
      </c>
      <c r="BH4">
        <v>5.1978464936499299E-3</v>
      </c>
      <c r="BI4">
        <v>1.4290447266703479</v>
      </c>
      <c r="BJ4">
        <v>1.4290447266703477</v>
      </c>
      <c r="BK4">
        <v>1.4290447266703479</v>
      </c>
      <c r="BL4">
        <v>3.9983434566537834</v>
      </c>
      <c r="BM4">
        <v>1.216888</v>
      </c>
    </row>
    <row r="5" spans="1:65" x14ac:dyDescent="0.3">
      <c r="A5">
        <v>5</v>
      </c>
      <c r="B5">
        <v>2029</v>
      </c>
      <c r="C5">
        <v>4.9635383152666621E-2</v>
      </c>
      <c r="D5">
        <v>7.7227935961330461E-3</v>
      </c>
      <c r="E5">
        <v>1.044547520762156</v>
      </c>
      <c r="F5">
        <v>1.0309369993591893</v>
      </c>
      <c r="G5">
        <v>1.2192701152704604</v>
      </c>
      <c r="H5">
        <v>1.1425102684666628</v>
      </c>
      <c r="I5">
        <v>1.0821297344906038</v>
      </c>
      <c r="J5">
        <v>0.87400585229372296</v>
      </c>
      <c r="K5">
        <v>0.92371901133116818</v>
      </c>
      <c r="L5">
        <v>1.2492830488844004</v>
      </c>
      <c r="M5">
        <v>0.99673689856634018</v>
      </c>
      <c r="N5">
        <v>1.0345167445441419</v>
      </c>
      <c r="O5">
        <v>1</v>
      </c>
      <c r="P5">
        <v>1</v>
      </c>
      <c r="Q5">
        <v>0</v>
      </c>
      <c r="R5">
        <v>0.10810192456032412</v>
      </c>
      <c r="S5">
        <v>0</v>
      </c>
      <c r="T5">
        <v>0</v>
      </c>
      <c r="U5">
        <v>0</v>
      </c>
      <c r="V5">
        <v>0</v>
      </c>
      <c r="W5">
        <v>-5.521460917862246</v>
      </c>
      <c r="X5">
        <v>0</v>
      </c>
      <c r="Y5">
        <v>1.2951812992801772</v>
      </c>
      <c r="Z5">
        <v>2.6967623159500245</v>
      </c>
      <c r="AA5">
        <v>0</v>
      </c>
      <c r="AB5">
        <v>0</v>
      </c>
      <c r="AC5">
        <v>5.5034528785792493E-2</v>
      </c>
      <c r="AD5">
        <v>7.7344645132935055E-2</v>
      </c>
      <c r="AE5">
        <v>1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-6.7500000000000004E-2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5.6524348131431881E-2</v>
      </c>
      <c r="AW5">
        <v>0.11115701287280108</v>
      </c>
      <c r="AX5">
        <v>1</v>
      </c>
      <c r="AY5">
        <v>0.14000000000000001</v>
      </c>
      <c r="AZ5">
        <v>-3.8381578947368399E-2</v>
      </c>
      <c r="BA5">
        <v>0.10203810049696271</v>
      </c>
      <c r="BB5">
        <v>6.8025400331308883E-2</v>
      </c>
      <c r="BC5">
        <v>1</v>
      </c>
      <c r="BD5">
        <v>1</v>
      </c>
      <c r="BE5">
        <f t="shared" si="0"/>
        <v>0.05</v>
      </c>
      <c r="BF5">
        <v>0.27106781689211473</v>
      </c>
      <c r="BG5">
        <v>10.225289895085661</v>
      </c>
      <c r="BH5">
        <v>1.3292876863611358E-2</v>
      </c>
      <c r="BI5">
        <v>2.3086692435118645</v>
      </c>
      <c r="BJ5">
        <v>2.3086692435118792</v>
      </c>
      <c r="BK5">
        <v>2.3086692435118721</v>
      </c>
      <c r="BL5">
        <v>10.22528989508559</v>
      </c>
      <c r="BM5">
        <v>1.299296</v>
      </c>
    </row>
    <row r="6" spans="1:65" x14ac:dyDescent="0.3">
      <c r="A6">
        <v>6</v>
      </c>
      <c r="B6">
        <v>2030</v>
      </c>
      <c r="C6">
        <v>6.0676180938982943E-2</v>
      </c>
      <c r="D6">
        <v>8.7792173570151281E-3</v>
      </c>
      <c r="E6">
        <v>1.0416036839404668</v>
      </c>
      <c r="F6">
        <v>1.0263104333706978</v>
      </c>
      <c r="G6">
        <v>1.2076030037596748</v>
      </c>
      <c r="H6">
        <v>1.1409285558335389</v>
      </c>
      <c r="I6">
        <v>1.0818346253376088</v>
      </c>
      <c r="J6">
        <v>0.85584290153707698</v>
      </c>
      <c r="K6">
        <v>0.91741970476616741</v>
      </c>
      <c r="L6">
        <v>1.1995408879573033</v>
      </c>
      <c r="M6">
        <v>0.99672621587667376</v>
      </c>
      <c r="N6">
        <v>1.033365090247381</v>
      </c>
      <c r="O6">
        <v>1</v>
      </c>
      <c r="P6">
        <v>1</v>
      </c>
      <c r="Q6">
        <v>0</v>
      </c>
      <c r="R6">
        <v>0.10810192456032412</v>
      </c>
      <c r="S6">
        <v>0</v>
      </c>
      <c r="T6">
        <v>0</v>
      </c>
      <c r="U6">
        <v>0</v>
      </c>
      <c r="V6">
        <v>0</v>
      </c>
      <c r="W6">
        <v>-5.521460917862246</v>
      </c>
      <c r="X6">
        <v>0</v>
      </c>
      <c r="Y6">
        <v>1.3609460383140015</v>
      </c>
      <c r="Z6">
        <v>2.7229078470617507</v>
      </c>
      <c r="AA6">
        <v>0</v>
      </c>
      <c r="AB6">
        <v>0</v>
      </c>
      <c r="AC6">
        <v>5.1299157954821248E-2</v>
      </c>
      <c r="AD6">
        <v>6.1516580902493401E-2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-6.7500000000000004E-2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0.11284776272089231</v>
      </c>
      <c r="AW6">
        <v>0.17465109009273258</v>
      </c>
      <c r="AX6">
        <v>1</v>
      </c>
      <c r="AY6">
        <v>0.14000000000000001</v>
      </c>
      <c r="AZ6">
        <v>-3.8381578947368399E-2</v>
      </c>
      <c r="BA6">
        <v>0.17321380452788521</v>
      </c>
      <c r="BB6">
        <v>0.11547586968525676</v>
      </c>
      <c r="BC6">
        <v>1</v>
      </c>
      <c r="BD6">
        <v>1</v>
      </c>
      <c r="BE6">
        <f t="shared" si="0"/>
        <v>0.06</v>
      </c>
      <c r="BF6">
        <v>0.33900402892856984</v>
      </c>
      <c r="BG6">
        <v>19.789618995030288</v>
      </c>
      <c r="BH6">
        <v>2.5726504693539376E-2</v>
      </c>
      <c r="BI6">
        <v>4.0567642186637238</v>
      </c>
      <c r="BJ6">
        <v>4.0567642186637203</v>
      </c>
      <c r="BK6">
        <v>4.0567642186637221</v>
      </c>
      <c r="BL6">
        <v>19.789618995030366</v>
      </c>
      <c r="BM6">
        <v>1.387348</v>
      </c>
    </row>
    <row r="7" spans="1:65" x14ac:dyDescent="0.3">
      <c r="A7">
        <v>7</v>
      </c>
      <c r="B7">
        <v>2031</v>
      </c>
      <c r="C7">
        <v>6.9155401833132513E-2</v>
      </c>
      <c r="D7">
        <v>7.5813110606110937E-3</v>
      </c>
      <c r="E7">
        <v>1.0512000000000001</v>
      </c>
      <c r="F7">
        <v>0.98550000000000004</v>
      </c>
      <c r="G7">
        <v>1.1888571428571431</v>
      </c>
      <c r="H7">
        <v>1.05571904028646</v>
      </c>
      <c r="I7">
        <v>1.146592957933144</v>
      </c>
      <c r="J7">
        <v>1.1684387382357437</v>
      </c>
      <c r="K7">
        <v>1.0900136489382257</v>
      </c>
      <c r="L7">
        <v>0.83365228316885365</v>
      </c>
      <c r="M7">
        <v>1.0032845369883714</v>
      </c>
      <c r="N7">
        <v>0.9677121952712826</v>
      </c>
      <c r="O7">
        <v>1</v>
      </c>
      <c r="P7">
        <v>1</v>
      </c>
      <c r="Q7">
        <v>0</v>
      </c>
      <c r="R7">
        <v>9.8051588706822734E-2</v>
      </c>
      <c r="S7">
        <v>0</v>
      </c>
      <c r="T7">
        <v>0</v>
      </c>
      <c r="U7">
        <v>0</v>
      </c>
      <c r="V7">
        <v>0</v>
      </c>
      <c r="W7">
        <v>-5.521460917862246</v>
      </c>
      <c r="X7">
        <v>0</v>
      </c>
      <c r="Y7">
        <v>1.3814139551321856</v>
      </c>
      <c r="Z7">
        <v>2.5846976114035396</v>
      </c>
      <c r="AA7">
        <v>0</v>
      </c>
      <c r="AB7">
        <v>0</v>
      </c>
      <c r="AC7">
        <v>3.7802417096241658E-2</v>
      </c>
      <c r="AD7">
        <v>5.4481378215160137E-2</v>
      </c>
      <c r="AE7">
        <v>1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-6.7500000000000004E-2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8.28663368275281E-2</v>
      </c>
      <c r="AW7">
        <v>0.15804108352638394</v>
      </c>
      <c r="AX7">
        <v>1</v>
      </c>
      <c r="AY7">
        <v>0.14000000000000001</v>
      </c>
      <c r="AZ7">
        <v>-3.8381578947368399E-2</v>
      </c>
      <c r="BA7">
        <v>0.13891204856946143</v>
      </c>
      <c r="BB7">
        <v>9.3383602555144357E-2</v>
      </c>
      <c r="BC7">
        <v>1</v>
      </c>
      <c r="BD7">
        <v>1</v>
      </c>
      <c r="BE7">
        <f t="shared" si="0"/>
        <v>7.0000000000000007E-2</v>
      </c>
      <c r="BF7">
        <v>0.40700858300437631</v>
      </c>
      <c r="BG7">
        <v>0</v>
      </c>
      <c r="BH7">
        <v>0</v>
      </c>
      <c r="BI7">
        <v>3.1259499633195236</v>
      </c>
      <c r="BJ7">
        <v>3.1686000982747822</v>
      </c>
      <c r="BK7">
        <v>3.1474323578133627</v>
      </c>
      <c r="BL7">
        <v>0</v>
      </c>
      <c r="BM7">
        <v>1.4814369999999999</v>
      </c>
    </row>
    <row r="8" spans="1:65" x14ac:dyDescent="0.3">
      <c r="A8">
        <v>8</v>
      </c>
      <c r="B8">
        <v>2032</v>
      </c>
      <c r="C8">
        <v>7.7465830972737945E-2</v>
      </c>
      <c r="D8">
        <v>6.6735318838913723E-3</v>
      </c>
      <c r="E8">
        <v>1.0448229166666669</v>
      </c>
      <c r="F8">
        <v>0.96911111111111137</v>
      </c>
      <c r="G8">
        <v>1.1763223684210529</v>
      </c>
      <c r="H8">
        <v>1.0496842200022587</v>
      </c>
      <c r="I8">
        <v>1.1393077078791809</v>
      </c>
      <c r="J8">
        <v>1.1441570984629228</v>
      </c>
      <c r="K8">
        <v>1.0825802952338326</v>
      </c>
      <c r="L8">
        <v>0.80045911204269671</v>
      </c>
      <c r="M8">
        <v>1.0032737841233261</v>
      </c>
      <c r="N8">
        <v>0.96663490975261923</v>
      </c>
      <c r="O8">
        <v>1</v>
      </c>
      <c r="P8">
        <v>1</v>
      </c>
      <c r="Q8">
        <v>0</v>
      </c>
      <c r="R8">
        <v>7.7848881389303376E-2</v>
      </c>
      <c r="S8">
        <v>0</v>
      </c>
      <c r="T8">
        <v>0</v>
      </c>
      <c r="U8">
        <v>0</v>
      </c>
      <c r="V8">
        <v>0</v>
      </c>
      <c r="W8">
        <v>-5.521460917862246</v>
      </c>
      <c r="X8">
        <v>0</v>
      </c>
      <c r="Y8">
        <v>1.1625196898931591</v>
      </c>
      <c r="Z8">
        <v>2.5496568516553086</v>
      </c>
      <c r="AA8">
        <v>0</v>
      </c>
      <c r="AB8">
        <v>0</v>
      </c>
      <c r="AC8">
        <v>3.5612654109022084E-2</v>
      </c>
      <c r="AD8">
        <v>5.1318797696177518E-2</v>
      </c>
      <c r="AE8">
        <v>1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-6.7500000000000004E-2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9.2452821534553364E-2</v>
      </c>
      <c r="AW8">
        <v>0.1751524767154912</v>
      </c>
      <c r="AX8">
        <v>1</v>
      </c>
      <c r="AY8">
        <v>0.14000000000000001</v>
      </c>
      <c r="AZ8">
        <v>-3.8381578947368399E-2</v>
      </c>
      <c r="BA8">
        <v>0.15494300090857754</v>
      </c>
      <c r="BB8">
        <v>0.10511883655538655</v>
      </c>
      <c r="BC8">
        <v>1</v>
      </c>
      <c r="BD8">
        <v>1</v>
      </c>
      <c r="BE8">
        <f t="shared" si="0"/>
        <v>0.08</v>
      </c>
      <c r="BF8">
        <v>0.47508009715096439</v>
      </c>
      <c r="BG8">
        <v>7.2975362522140808</v>
      </c>
      <c r="BH8">
        <v>9.4867971278783051E-3</v>
      </c>
      <c r="BI8">
        <v>3.4857179720148088</v>
      </c>
      <c r="BJ8">
        <v>3.5814937136687122</v>
      </c>
      <c r="BK8">
        <v>3.53395913859746</v>
      </c>
      <c r="BL8">
        <v>7.0127001656543353</v>
      </c>
      <c r="BM8">
        <v>1.5819810000000001</v>
      </c>
    </row>
    <row r="9" spans="1:65" x14ac:dyDescent="0.3">
      <c r="A9">
        <v>9</v>
      </c>
      <c r="B9">
        <v>2033</v>
      </c>
      <c r="C9">
        <v>8.5572265411138465E-2</v>
      </c>
      <c r="D9">
        <v>6.1736674036573921E-3</v>
      </c>
      <c r="E9">
        <v>1.0385315217391304</v>
      </c>
      <c r="F9">
        <v>0.9500203125000003</v>
      </c>
      <c r="G9">
        <v>1.1651817073170736</v>
      </c>
      <c r="H9">
        <v>1.0437784158097061</v>
      </c>
      <c r="I9">
        <v>1.1324885162005511</v>
      </c>
      <c r="J9">
        <v>1.1259941477062771</v>
      </c>
      <c r="K9">
        <v>1.076280988668832</v>
      </c>
      <c r="L9">
        <v>0.75071695111559966</v>
      </c>
      <c r="M9">
        <v>1.0032631014336599</v>
      </c>
      <c r="N9">
        <v>0.965483255455858</v>
      </c>
      <c r="O9">
        <v>1</v>
      </c>
      <c r="P9">
        <v>1</v>
      </c>
      <c r="Q9">
        <v>0</v>
      </c>
      <c r="R9">
        <v>4.7389673904594684E-2</v>
      </c>
      <c r="S9">
        <v>0</v>
      </c>
      <c r="T9">
        <v>0</v>
      </c>
      <c r="U9">
        <v>0</v>
      </c>
      <c r="V9">
        <v>0</v>
      </c>
      <c r="W9">
        <v>-5.521460917862246</v>
      </c>
      <c r="X9">
        <v>0</v>
      </c>
      <c r="Y9">
        <v>1.1851071517546203</v>
      </c>
      <c r="Z9">
        <v>2.5721144839711529</v>
      </c>
      <c r="AA9">
        <v>0</v>
      </c>
      <c r="AB9">
        <v>0</v>
      </c>
      <c r="AC9">
        <v>3.3665728757225122E-2</v>
      </c>
      <c r="AD9">
        <v>4.8507250547571754E-2</v>
      </c>
      <c r="AE9">
        <v>1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-6.7500000000000004E-2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0.1012642241087002</v>
      </c>
      <c r="AW9">
        <v>0.1917985604514553</v>
      </c>
      <c r="AX9">
        <v>1</v>
      </c>
      <c r="AY9">
        <v>0.14000000000000001</v>
      </c>
      <c r="AZ9">
        <v>-3.8381578947368399E-2</v>
      </c>
      <c r="BA9">
        <v>0.17076817452148954</v>
      </c>
      <c r="BB9">
        <v>0.11698924700348762</v>
      </c>
      <c r="BC9">
        <v>1</v>
      </c>
      <c r="BD9">
        <v>1</v>
      </c>
      <c r="BE9">
        <f t="shared" si="0"/>
        <v>0.09</v>
      </c>
      <c r="BF9">
        <v>0.54322040082674306</v>
      </c>
      <c r="BG9">
        <v>7.7624208090921964</v>
      </c>
      <c r="BH9">
        <v>1.0091147051819856E-2</v>
      </c>
      <c r="BI9">
        <v>3.8402096031151167</v>
      </c>
      <c r="BJ9">
        <v>3.9995864232110607</v>
      </c>
      <c r="BK9">
        <v>3.9204859193815573</v>
      </c>
      <c r="BL9">
        <v>7.399226946438433</v>
      </c>
      <c r="BM9">
        <v>1.689427</v>
      </c>
    </row>
    <row r="10" spans="1:65" x14ac:dyDescent="0.3">
      <c r="A10">
        <v>10</v>
      </c>
      <c r="B10">
        <v>2034</v>
      </c>
      <c r="C10">
        <v>9.3439886466750055E-2</v>
      </c>
      <c r="D10">
        <v>6.2014667482928418E-3</v>
      </c>
      <c r="E10">
        <v>1.0322937784090913</v>
      </c>
      <c r="F10">
        <v>0.92695767857142863</v>
      </c>
      <c r="G10">
        <v>1.1551858948863638</v>
      </c>
      <c r="H10">
        <v>1.0379771471672361</v>
      </c>
      <c r="I10">
        <v>1.1260947118637628</v>
      </c>
      <c r="J10">
        <v>1.1118959170107015</v>
      </c>
      <c r="K10">
        <v>1.0708746038180768</v>
      </c>
      <c r="L10">
        <v>0.66794002917617024</v>
      </c>
      <c r="M10">
        <v>1.0032524882346388</v>
      </c>
      <c r="N10">
        <v>0.96424925616359358</v>
      </c>
      <c r="O10">
        <v>1</v>
      </c>
      <c r="P10">
        <v>1</v>
      </c>
      <c r="Q10">
        <v>0</v>
      </c>
      <c r="R10">
        <v>6.5676793843396251E-3</v>
      </c>
      <c r="S10">
        <v>0</v>
      </c>
      <c r="T10">
        <v>0</v>
      </c>
      <c r="U10">
        <v>0</v>
      </c>
      <c r="V10">
        <v>0</v>
      </c>
      <c r="W10">
        <v>-5.521460917862246</v>
      </c>
      <c r="X10">
        <v>0</v>
      </c>
      <c r="Y10">
        <v>1.207189804827884</v>
      </c>
      <c r="Z10">
        <v>2.5940739658673313</v>
      </c>
      <c r="AA10">
        <v>0</v>
      </c>
      <c r="AB10">
        <v>0</v>
      </c>
      <c r="AC10">
        <v>3.1930288130124995E-2</v>
      </c>
      <c r="AD10">
        <v>4.600135864344386E-2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-6.7500000000000004E-2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0.10934663513371728</v>
      </c>
      <c r="AW10">
        <v>0.20799287814770356</v>
      </c>
      <c r="AX10">
        <v>1</v>
      </c>
      <c r="AY10">
        <v>0.14000000000000001</v>
      </c>
      <c r="AZ10">
        <v>-3.8381578947368399E-2</v>
      </c>
      <c r="BA10">
        <v>0.18638756940819748</v>
      </c>
      <c r="BB10">
        <v>0.12899483389944752</v>
      </c>
      <c r="BC10">
        <v>1</v>
      </c>
      <c r="BD10">
        <v>1</v>
      </c>
      <c r="BE10">
        <f t="shared" si="0"/>
        <v>0.1</v>
      </c>
      <c r="BF10">
        <v>0.61142831892488558</v>
      </c>
      <c r="BG10">
        <v>8.2325044601187081</v>
      </c>
      <c r="BH10">
        <v>1.0702255798154319E-2</v>
      </c>
      <c r="BI10">
        <v>4.1894248566204482</v>
      </c>
      <c r="BJ10">
        <v>4.4228782269018261</v>
      </c>
      <c r="BK10">
        <v>4.3070127001656546</v>
      </c>
      <c r="BL10">
        <v>7.7857537272225308</v>
      </c>
      <c r="BM10">
        <v>1.8042549999999999</v>
      </c>
    </row>
    <row r="11" spans="1:65" x14ac:dyDescent="0.3">
      <c r="A11">
        <v>11</v>
      </c>
      <c r="B11">
        <v>2035</v>
      </c>
      <c r="C11">
        <v>9.8843813186937843E-2</v>
      </c>
      <c r="D11">
        <v>4.7120380594618747E-3</v>
      </c>
      <c r="E11">
        <v>1.0260743750000001</v>
      </c>
      <c r="F11">
        <v>0.89781507812500017</v>
      </c>
      <c r="G11">
        <v>1.1461469082446809</v>
      </c>
      <c r="H11">
        <v>1.0322543905895101</v>
      </c>
      <c r="I11">
        <v>1.1200908076059095</v>
      </c>
      <c r="J11">
        <v>1.1006352440896898</v>
      </c>
      <c r="K11">
        <v>1.0661838496920015</v>
      </c>
      <c r="L11">
        <v>0.50285960367820914</v>
      </c>
      <c r="M11">
        <v>1.0032419438504077</v>
      </c>
      <c r="N11">
        <v>0.96292375274558595</v>
      </c>
      <c r="O11">
        <v>1</v>
      </c>
      <c r="P11">
        <v>1</v>
      </c>
      <c r="Q11">
        <v>0</v>
      </c>
      <c r="R11">
        <v>-4.4725615003210609E-2</v>
      </c>
      <c r="S11">
        <v>0</v>
      </c>
      <c r="T11">
        <v>0</v>
      </c>
      <c r="U11">
        <v>0</v>
      </c>
      <c r="V11">
        <v>-1.656409061990002E-2</v>
      </c>
      <c r="W11">
        <v>-5.521460917862246</v>
      </c>
      <c r="X11">
        <v>0</v>
      </c>
      <c r="Y11">
        <v>1.2287948647751661</v>
      </c>
      <c r="Z11">
        <v>2.6155620135951541</v>
      </c>
      <c r="AA11">
        <v>0</v>
      </c>
      <c r="AB11">
        <v>0</v>
      </c>
      <c r="AC11">
        <v>3.0379695404248973E-2</v>
      </c>
      <c r="AD11">
        <v>4.3762577984181275E-2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-6.7500000000000004E-2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0.14663882938085887</v>
      </c>
      <c r="AW11">
        <v>0.2513941006551057</v>
      </c>
      <c r="AX11">
        <v>1</v>
      </c>
      <c r="AY11">
        <v>0.14000000000000001</v>
      </c>
      <c r="AZ11">
        <v>-3.8381578947368399E-2</v>
      </c>
      <c r="BA11">
        <v>0.24647156511309373</v>
      </c>
      <c r="BB11">
        <v>0.1730048688479302</v>
      </c>
      <c r="BC11">
        <v>1</v>
      </c>
      <c r="BD11">
        <v>1</v>
      </c>
      <c r="BE11">
        <f t="shared" si="0"/>
        <v>0.11</v>
      </c>
      <c r="BF11">
        <v>0.67970422759671867</v>
      </c>
      <c r="BG11">
        <v>20.965199360933621</v>
      </c>
      <c r="BH11">
        <v>2.7254759169213705E-2</v>
      </c>
      <c r="BI11">
        <v>5.6787580798229165</v>
      </c>
      <c r="BJ11">
        <v>6.0771103403050057</v>
      </c>
      <c r="BK11">
        <v>5.8794036443953619</v>
      </c>
      <c r="BL11">
        <v>20.030922142462728</v>
      </c>
      <c r="BM11">
        <v>1.9269769999999999</v>
      </c>
    </row>
    <row r="12" spans="1:65" x14ac:dyDescent="0.3">
      <c r="A12">
        <v>12</v>
      </c>
      <c r="B12">
        <v>2036</v>
      </c>
      <c r="C12">
        <v>0.10392542912170701</v>
      </c>
      <c r="D12">
        <v>4.1235579114977331E-3</v>
      </c>
      <c r="E12">
        <v>1.02125</v>
      </c>
      <c r="F12">
        <v>0.9943749999999999</v>
      </c>
      <c r="G12">
        <v>1.0965</v>
      </c>
      <c r="H12">
        <v>1.0728687224181794</v>
      </c>
      <c r="I12">
        <v>1.0861104604215222</v>
      </c>
      <c r="J12">
        <v>0.86513973018940205</v>
      </c>
      <c r="K12">
        <v>0.88620283938886313</v>
      </c>
      <c r="L12">
        <v>2.4343616189139987</v>
      </c>
      <c r="M12">
        <v>0.98271363721571137</v>
      </c>
      <c r="N12">
        <v>1.0689013708438915</v>
      </c>
      <c r="O12">
        <v>1</v>
      </c>
      <c r="P12">
        <v>1</v>
      </c>
      <c r="Q12">
        <v>0</v>
      </c>
      <c r="R12">
        <v>-0.10660101872129805</v>
      </c>
      <c r="S12">
        <v>0</v>
      </c>
      <c r="T12">
        <v>0</v>
      </c>
      <c r="U12">
        <v>0</v>
      </c>
      <c r="V12">
        <v>-3.3128181239799923E-2</v>
      </c>
      <c r="W12">
        <v>-5.521460917862246</v>
      </c>
      <c r="X12">
        <v>0</v>
      </c>
      <c r="Y12">
        <v>1.2513349667869451</v>
      </c>
      <c r="Z12">
        <v>2.6379908116604449</v>
      </c>
      <c r="AA12">
        <v>0</v>
      </c>
      <c r="AB12">
        <v>0</v>
      </c>
      <c r="AC12">
        <v>2.8951032235862255E-2</v>
      </c>
      <c r="AD12">
        <v>4.1390406096661086E-2</v>
      </c>
      <c r="AE12">
        <v>1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-6.7500000000000004E-2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0.12350415411384638</v>
      </c>
      <c r="AW12">
        <v>0.23908181895024369</v>
      </c>
      <c r="AX12">
        <v>1</v>
      </c>
      <c r="AY12">
        <v>0.14000000000000001</v>
      </c>
      <c r="AZ12">
        <v>-3.8381578947368399E-2</v>
      </c>
      <c r="BA12">
        <v>0.2170090230030001</v>
      </c>
      <c r="BB12">
        <v>0.15341153703494453</v>
      </c>
      <c r="BC12">
        <v>1</v>
      </c>
      <c r="BD12">
        <v>1</v>
      </c>
      <c r="BE12">
        <f t="shared" si="0"/>
        <v>0.12</v>
      </c>
      <c r="BF12">
        <v>0.74804815942090075</v>
      </c>
      <c r="BG12">
        <v>0</v>
      </c>
      <c r="BH12">
        <v>0</v>
      </c>
      <c r="BI12">
        <v>4.8720262308461564</v>
      </c>
      <c r="BJ12">
        <v>5.2850591167286334</v>
      </c>
      <c r="BK12">
        <v>5.0800662617338483</v>
      </c>
      <c r="BL12">
        <v>0</v>
      </c>
      <c r="BM12">
        <v>2.0581420000000001</v>
      </c>
    </row>
    <row r="13" spans="1:65" x14ac:dyDescent="0.3">
      <c r="A13">
        <v>13</v>
      </c>
      <c r="B13">
        <v>2037</v>
      </c>
      <c r="C13">
        <v>0.10861490122714797</v>
      </c>
      <c r="D13">
        <v>4.6681529289673068E-3</v>
      </c>
      <c r="E13">
        <v>1.0184210526315789</v>
      </c>
      <c r="F13">
        <v>0.98783783783783774</v>
      </c>
      <c r="G13">
        <v>1.0960784313725489</v>
      </c>
      <c r="H13">
        <v>1.0728644885878551</v>
      </c>
      <c r="I13">
        <v>1.0859968050105153</v>
      </c>
      <c r="J13">
        <v>0.8441173545675984</v>
      </c>
      <c r="K13">
        <v>0.8715901647419535</v>
      </c>
      <c r="L13">
        <v>1.5892146868277879</v>
      </c>
      <c r="M13">
        <v>0.98240956253210709</v>
      </c>
      <c r="N13">
        <v>1.0644599892219186</v>
      </c>
      <c r="O13">
        <v>1</v>
      </c>
      <c r="P13">
        <v>1</v>
      </c>
      <c r="Q13">
        <v>0</v>
      </c>
      <c r="R13">
        <v>-0.17917171155613346</v>
      </c>
      <c r="S13">
        <v>0</v>
      </c>
      <c r="T13">
        <v>0</v>
      </c>
      <c r="U13">
        <v>0</v>
      </c>
      <c r="V13">
        <v>-4.9692271859699974E-2</v>
      </c>
      <c r="W13">
        <v>-5.521460917862246</v>
      </c>
      <c r="X13">
        <v>0</v>
      </c>
      <c r="Y13">
        <v>1.2754870166414327</v>
      </c>
      <c r="Z13">
        <v>2.654581522154964</v>
      </c>
      <c r="AA13">
        <v>0</v>
      </c>
      <c r="AB13">
        <v>0</v>
      </c>
      <c r="AC13">
        <v>2.7573844372400208E-2</v>
      </c>
      <c r="AD13">
        <v>3.9424344047728876E-2</v>
      </c>
      <c r="AE13">
        <v>1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-6.7500000000000004E-2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0.12966619750055772</v>
      </c>
      <c r="AW13">
        <v>0.25400477788072878</v>
      </c>
      <c r="AX13">
        <v>1</v>
      </c>
      <c r="AY13">
        <v>0.14000000000000001</v>
      </c>
      <c r="AZ13">
        <v>-3.8381578947368399E-2</v>
      </c>
      <c r="BA13">
        <v>0.23201108171109569</v>
      </c>
      <c r="BB13">
        <v>0.16582265327448104</v>
      </c>
      <c r="BC13">
        <v>1</v>
      </c>
      <c r="BD13">
        <v>1</v>
      </c>
      <c r="BE13">
        <f t="shared" si="0"/>
        <v>0.13</v>
      </c>
      <c r="BF13">
        <v>0.81646023079441621</v>
      </c>
      <c r="BG13">
        <v>9.6739499780888316</v>
      </c>
      <c r="BH13">
        <v>1.257613497151548E-2</v>
      </c>
      <c r="BI13">
        <v>5.2054123515665562</v>
      </c>
      <c r="BJ13">
        <v>5.7239482028646531</v>
      </c>
      <c r="BK13">
        <v>5.4665930425179461</v>
      </c>
      <c r="BL13">
        <v>8.9453340695748285</v>
      </c>
      <c r="BM13">
        <v>2.1983380000000001</v>
      </c>
    </row>
    <row r="14" spans="1:65" x14ac:dyDescent="0.3">
      <c r="A14">
        <v>14</v>
      </c>
      <c r="B14">
        <v>2038</v>
      </c>
      <c r="C14">
        <v>0.1128422052264189</v>
      </c>
      <c r="D14">
        <v>6.5775893466804257E-3</v>
      </c>
      <c r="E14">
        <v>1.0152777777777777</v>
      </c>
      <c r="F14">
        <v>0.9801470588235297</v>
      </c>
      <c r="G14">
        <v>1.0956730769230767</v>
      </c>
      <c r="H14">
        <v>1.0728602379028529</v>
      </c>
      <c r="I14">
        <v>1.0858854513491771</v>
      </c>
      <c r="J14">
        <v>0.81533059995875456</v>
      </c>
      <c r="K14">
        <v>0.8526717711459445</v>
      </c>
      <c r="L14">
        <v>1.3707583951441531</v>
      </c>
      <c r="M14">
        <v>0.98209459869002658</v>
      </c>
      <c r="N14">
        <v>1.0605565168015723</v>
      </c>
      <c r="O14">
        <v>1</v>
      </c>
      <c r="P14">
        <v>1</v>
      </c>
      <c r="Q14">
        <v>0</v>
      </c>
      <c r="R14">
        <v>-0.26255332049518443</v>
      </c>
      <c r="S14">
        <v>0</v>
      </c>
      <c r="T14">
        <v>0</v>
      </c>
      <c r="U14">
        <v>0</v>
      </c>
      <c r="V14">
        <v>-6.6256362479599873E-2</v>
      </c>
      <c r="W14">
        <v>-5.521460917862246</v>
      </c>
      <c r="X14">
        <v>0</v>
      </c>
      <c r="Y14">
        <v>1.2990694747576343</v>
      </c>
      <c r="Z14">
        <v>2.6782365612870493</v>
      </c>
      <c r="AA14">
        <v>0</v>
      </c>
      <c r="AB14">
        <v>0</v>
      </c>
      <c r="AC14">
        <v>2.6247903225352597E-2</v>
      </c>
      <c r="AD14">
        <v>3.7531148604396783E-2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-6.7500000000000004E-2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0.13527281890149784</v>
      </c>
      <c r="AW14">
        <v>0.26853252711458464</v>
      </c>
      <c r="AX14">
        <v>1</v>
      </c>
      <c r="AY14">
        <v>0.14000000000000001</v>
      </c>
      <c r="AZ14">
        <v>-3.8381578947368399E-2</v>
      </c>
      <c r="BA14">
        <v>0.2468073616929872</v>
      </c>
      <c r="BB14">
        <v>0.17836894596187641</v>
      </c>
      <c r="BC14">
        <v>1</v>
      </c>
      <c r="BD14">
        <v>1</v>
      </c>
      <c r="BE14">
        <f t="shared" si="0"/>
        <v>0.14000000000000001</v>
      </c>
      <c r="BF14">
        <v>0.88493999307285987</v>
      </c>
      <c r="BG14">
        <v>10.164830005709025</v>
      </c>
      <c r="BH14">
        <v>1.3214279007421731E-2</v>
      </c>
      <c r="BI14">
        <v>5.5335220946919792</v>
      </c>
      <c r="BJ14">
        <v>6.168036383149091</v>
      </c>
      <c r="BK14">
        <v>5.8531198233020429</v>
      </c>
      <c r="BL14">
        <v>9.3318608503589129</v>
      </c>
      <c r="BM14">
        <v>2.3481920000000001</v>
      </c>
    </row>
    <row r="15" spans="1:65" x14ac:dyDescent="0.3">
      <c r="A15">
        <v>15</v>
      </c>
      <c r="B15">
        <v>2039</v>
      </c>
      <c r="C15">
        <v>0.11653678253239685</v>
      </c>
      <c r="D15">
        <v>1.0080543293447333E-2</v>
      </c>
      <c r="E15">
        <v>1.0117647058823529</v>
      </c>
      <c r="F15">
        <v>0.97096774193548385</v>
      </c>
      <c r="G15">
        <v>1.0952830188679246</v>
      </c>
      <c r="H15">
        <v>1.0728559702623244</v>
      </c>
      <c r="I15">
        <v>1.0857763302158865</v>
      </c>
      <c r="J15">
        <v>0.77350365600090643</v>
      </c>
      <c r="K15">
        <v>0.82721577770065702</v>
      </c>
      <c r="L15">
        <v>1.2704768370980228</v>
      </c>
      <c r="M15">
        <v>0.98176815010096108</v>
      </c>
      <c r="N15">
        <v>1.0570988116542803</v>
      </c>
      <c r="O15">
        <v>1</v>
      </c>
      <c r="P15">
        <v>1</v>
      </c>
      <c r="Q15">
        <v>0</v>
      </c>
      <c r="R15">
        <v>-0.35686399996642576</v>
      </c>
      <c r="S15">
        <v>0</v>
      </c>
      <c r="T15">
        <v>0</v>
      </c>
      <c r="U15">
        <v>0</v>
      </c>
      <c r="V15">
        <v>-8.2820453099499841E-2</v>
      </c>
      <c r="W15">
        <v>-5.521460917862246</v>
      </c>
      <c r="X15">
        <v>0</v>
      </c>
      <c r="Y15">
        <v>1.3221085893195723</v>
      </c>
      <c r="Z15">
        <v>2.7013449457789083</v>
      </c>
      <c r="AA15">
        <v>0</v>
      </c>
      <c r="AB15">
        <v>0</v>
      </c>
      <c r="AC15">
        <v>2.4972761546442793E-2</v>
      </c>
      <c r="AD15">
        <v>3.5710222132373522E-2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-6.7500000000000004E-2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0.14036395636720128</v>
      </c>
      <c r="AW15">
        <v>0.28267951373947786</v>
      </c>
      <c r="AX15">
        <v>1</v>
      </c>
      <c r="AY15">
        <v>0.14000000000000001</v>
      </c>
      <c r="AZ15">
        <v>-3.8381578947368399E-2</v>
      </c>
      <c r="BA15">
        <v>0.26139786294867456</v>
      </c>
      <c r="BB15">
        <v>0.19105041509713067</v>
      </c>
      <c r="BC15">
        <v>1</v>
      </c>
      <c r="BD15">
        <v>1</v>
      </c>
      <c r="BE15">
        <f t="shared" si="0"/>
        <v>0.15</v>
      </c>
      <c r="BF15">
        <v>0.95348747510453991</v>
      </c>
      <c r="BG15">
        <v>10.660909127477654</v>
      </c>
      <c r="BH15">
        <v>1.385918186572095E-2</v>
      </c>
      <c r="BI15">
        <v>5.8563554602224244</v>
      </c>
      <c r="BJ15">
        <v>6.6173236575819461</v>
      </c>
      <c r="BK15">
        <v>6.2396466040861407</v>
      </c>
      <c r="BL15">
        <v>9.7183876311430151</v>
      </c>
      <c r="BM15">
        <v>2.5083769999999999</v>
      </c>
    </row>
    <row r="16" spans="1:65" x14ac:dyDescent="0.3">
      <c r="A16">
        <v>16</v>
      </c>
      <c r="B16">
        <v>2040</v>
      </c>
      <c r="C16">
        <v>0.11785679828283907</v>
      </c>
      <c r="D16">
        <v>1.3547372385283089E-2</v>
      </c>
      <c r="E16">
        <v>1.0078125</v>
      </c>
      <c r="F16">
        <v>0.95982142857142849</v>
      </c>
      <c r="G16">
        <v>1.0949074074074072</v>
      </c>
      <c r="H16">
        <v>1.0728516855646173</v>
      </c>
      <c r="I16">
        <v>1.0856693751371189</v>
      </c>
      <c r="J16">
        <v>0.70718128835989869</v>
      </c>
      <c r="K16">
        <v>0.79112557212143952</v>
      </c>
      <c r="L16">
        <v>1.2128939538290495</v>
      </c>
      <c r="M16">
        <v>0.98142957693507971</v>
      </c>
      <c r="N16">
        <v>1.054014639903837</v>
      </c>
      <c r="O16">
        <v>1</v>
      </c>
      <c r="P16">
        <v>1</v>
      </c>
      <c r="Q16">
        <v>0</v>
      </c>
      <c r="R16">
        <v>-0.46222451562425199</v>
      </c>
      <c r="S16">
        <v>0</v>
      </c>
      <c r="T16">
        <v>0</v>
      </c>
      <c r="U16">
        <v>0</v>
      </c>
      <c r="V16">
        <v>-9.9384543719399837E-2</v>
      </c>
      <c r="W16">
        <v>-5.521460917862246</v>
      </c>
      <c r="X16">
        <v>0</v>
      </c>
      <c r="Y16">
        <v>1.3446288349290885</v>
      </c>
      <c r="Z16">
        <v>2.7239313717532432</v>
      </c>
      <c r="AA16">
        <v>0</v>
      </c>
      <c r="AB16">
        <v>0</v>
      </c>
      <c r="AC16">
        <v>2.3747785050945883E-2</v>
      </c>
      <c r="AD16">
        <v>3.2150821744336935E-2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-6.7500000000000004E-2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0.2083710666767343</v>
      </c>
      <c r="AW16">
        <v>0.36081395669506866</v>
      </c>
      <c r="AX16">
        <v>1</v>
      </c>
      <c r="AY16">
        <v>0.14000000000000001</v>
      </c>
      <c r="AZ16">
        <v>-3.8381578947368399E-2</v>
      </c>
      <c r="BA16">
        <v>0.38830831375828301</v>
      </c>
      <c r="BB16">
        <v>0.2897942670381447</v>
      </c>
      <c r="BC16">
        <v>1</v>
      </c>
      <c r="BD16">
        <v>1</v>
      </c>
      <c r="BE16">
        <f t="shared" si="0"/>
        <v>0.16</v>
      </c>
      <c r="BF16">
        <v>1.0221033853022929</v>
      </c>
      <c r="BG16">
        <v>44.211112865664255</v>
      </c>
      <c r="BH16">
        <v>5.7474446725363532E-2</v>
      </c>
      <c r="BI16">
        <v>9.0591875322636675</v>
      </c>
      <c r="BJ16">
        <v>10.376702578390177</v>
      </c>
      <c r="BK16">
        <v>9.7228050800662622</v>
      </c>
      <c r="BL16">
        <v>41.07123136388735</v>
      </c>
      <c r="BM16">
        <v>2.6796139999999999</v>
      </c>
    </row>
    <row r="17" spans="1:65" x14ac:dyDescent="0.3">
      <c r="A17">
        <v>17</v>
      </c>
      <c r="B17">
        <v>2041</v>
      </c>
      <c r="C17">
        <v>0.11862898351136593</v>
      </c>
      <c r="D17">
        <v>1.8685128258673453E-2</v>
      </c>
      <c r="E17">
        <v>1.0033333333333332</v>
      </c>
      <c r="F17">
        <v>1.0534999999999999</v>
      </c>
      <c r="G17">
        <v>1.0867272727272728</v>
      </c>
      <c r="H17">
        <v>1.0584615384615383</v>
      </c>
      <c r="I17">
        <v>1.091732608695652</v>
      </c>
      <c r="J17">
        <v>0.93333333333333324</v>
      </c>
      <c r="K17">
        <v>0.96</v>
      </c>
      <c r="L17">
        <v>1.0181818181818183</v>
      </c>
      <c r="M17">
        <v>0.98461538461538456</v>
      </c>
      <c r="N17">
        <v>1.0156521739130435</v>
      </c>
      <c r="O17">
        <v>1</v>
      </c>
      <c r="P17">
        <v>1</v>
      </c>
      <c r="Q17">
        <v>0</v>
      </c>
      <c r="R17">
        <v>-0.57875833188020342</v>
      </c>
      <c r="S17">
        <v>0</v>
      </c>
      <c r="T17">
        <v>0</v>
      </c>
      <c r="U17">
        <v>0</v>
      </c>
      <c r="V17">
        <v>-0.11594863433929982</v>
      </c>
      <c r="W17">
        <v>-5.521460917862246</v>
      </c>
      <c r="X17">
        <v>0</v>
      </c>
      <c r="Y17">
        <v>1.3666530688797309</v>
      </c>
      <c r="Z17">
        <v>2.6912530613493688</v>
      </c>
      <c r="AA17">
        <v>0</v>
      </c>
      <c r="AB17">
        <v>0</v>
      </c>
      <c r="AC17">
        <v>2.2572180692777444E-2</v>
      </c>
      <c r="AD17">
        <v>3.0597866203442028E-2</v>
      </c>
      <c r="AE17">
        <v>1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-6.7500000000000004E-2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0.1491515272386453</v>
      </c>
      <c r="AW17">
        <v>0.30988902677401098</v>
      </c>
      <c r="AX17">
        <v>1</v>
      </c>
      <c r="AY17">
        <v>0.14000000000000001</v>
      </c>
      <c r="AZ17">
        <v>-3.8381578947368399E-2</v>
      </c>
      <c r="BA17">
        <v>0.28996152928143698</v>
      </c>
      <c r="BB17">
        <v>0.21681888271121572</v>
      </c>
      <c r="BC17">
        <v>1</v>
      </c>
      <c r="BD17">
        <v>1</v>
      </c>
      <c r="BE17">
        <f t="shared" si="0"/>
        <v>0.17</v>
      </c>
      <c r="BF17">
        <v>1.0907867488468153</v>
      </c>
      <c r="BG17">
        <v>0</v>
      </c>
      <c r="BH17">
        <v>0</v>
      </c>
      <c r="BI17">
        <v>6.4861930584983849</v>
      </c>
      <c r="BJ17">
        <v>7.5314954888929098</v>
      </c>
      <c r="BK17">
        <v>7.0127001656543344</v>
      </c>
      <c r="BL17">
        <v>0</v>
      </c>
      <c r="BM17">
        <v>2.862673</v>
      </c>
    </row>
    <row r="18" spans="1:65" x14ac:dyDescent="0.3">
      <c r="A18">
        <v>18</v>
      </c>
      <c r="B18">
        <v>2042</v>
      </c>
      <c r="C18">
        <v>0.11889803010665607</v>
      </c>
      <c r="D18">
        <v>2.5335329283573425E-2</v>
      </c>
      <c r="E18">
        <v>0.99821428571428583</v>
      </c>
      <c r="F18">
        <v>1.0530612244897959</v>
      </c>
      <c r="G18">
        <v>1.0866007194244605</v>
      </c>
      <c r="H18">
        <v>1.0582031250000001</v>
      </c>
      <c r="I18">
        <v>1.0914761537802893</v>
      </c>
      <c r="J18">
        <v>0.92857142857142871</v>
      </c>
      <c r="K18">
        <v>0.95833333333333348</v>
      </c>
      <c r="L18">
        <v>1.0178571428571428</v>
      </c>
      <c r="M18">
        <v>0.98437500000000011</v>
      </c>
      <c r="N18">
        <v>1.0154109589041096</v>
      </c>
      <c r="O18">
        <v>1</v>
      </c>
      <c r="P18">
        <v>1</v>
      </c>
      <c r="Q18">
        <v>0</v>
      </c>
      <c r="R18">
        <v>-0.70659170339008837</v>
      </c>
      <c r="S18">
        <v>0</v>
      </c>
      <c r="T18">
        <v>0</v>
      </c>
      <c r="U18">
        <v>0</v>
      </c>
      <c r="V18">
        <v>-0.13251272495919977</v>
      </c>
      <c r="W18">
        <v>-5.521460917862246</v>
      </c>
      <c r="X18">
        <v>0</v>
      </c>
      <c r="Y18">
        <v>1.388202670588996</v>
      </c>
      <c r="Z18">
        <v>2.7140659874858648</v>
      </c>
      <c r="AA18">
        <v>0</v>
      </c>
      <c r="AB18">
        <v>0</v>
      </c>
      <c r="AC18">
        <v>2.144502190461918E-2</v>
      </c>
      <c r="AD18">
        <v>2.910510813894078E-2</v>
      </c>
      <c r="AE18">
        <v>1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-6.7500000000000004E-2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0.15291967024440875</v>
      </c>
      <c r="AW18">
        <v>0.32298034686891236</v>
      </c>
      <c r="AX18">
        <v>1</v>
      </c>
      <c r="AY18">
        <v>0.14000000000000001</v>
      </c>
      <c r="AZ18">
        <v>-3.8381578947368399E-2</v>
      </c>
      <c r="BA18">
        <v>0.30393469435851117</v>
      </c>
      <c r="BB18">
        <v>0.22990588119004715</v>
      </c>
      <c r="BC18">
        <v>1</v>
      </c>
      <c r="BD18">
        <v>1</v>
      </c>
      <c r="BE18">
        <f t="shared" si="0"/>
        <v>0.18</v>
      </c>
      <c r="BF18">
        <v>1.1595383552415865</v>
      </c>
      <c r="BG18">
        <v>12.180341057674227</v>
      </c>
      <c r="BH18">
        <v>1.5834443374976494E-2</v>
      </c>
      <c r="BI18">
        <v>6.7931972912438763</v>
      </c>
      <c r="BJ18">
        <v>7.9963800457710414</v>
      </c>
      <c r="BK18">
        <v>7.3992269464384322</v>
      </c>
      <c r="BL18">
        <v>10.877967973495313</v>
      </c>
      <c r="BM18">
        <v>3.0583800000000001</v>
      </c>
    </row>
    <row r="19" spans="1:65" x14ac:dyDescent="0.3">
      <c r="A19">
        <v>19</v>
      </c>
      <c r="B19">
        <v>2043</v>
      </c>
      <c r="C19">
        <v>0.11870705510318108</v>
      </c>
      <c r="D19">
        <v>3.3338267909972921E-2</v>
      </c>
      <c r="E19">
        <v>0.99230769230769222</v>
      </c>
      <c r="F19">
        <v>1.0526041666666666</v>
      </c>
      <c r="G19">
        <v>1.086476868327402</v>
      </c>
      <c r="H19">
        <v>1.0579365079365075</v>
      </c>
      <c r="I19">
        <v>1.0912274413897791</v>
      </c>
      <c r="J19">
        <v>0.92307692307692302</v>
      </c>
      <c r="K19">
        <v>0.95652173913043459</v>
      </c>
      <c r="L19">
        <v>1.0175438596491226</v>
      </c>
      <c r="M19">
        <v>0.98412698412698374</v>
      </c>
      <c r="N19">
        <v>1.0151770657672849</v>
      </c>
      <c r="O19">
        <v>1</v>
      </c>
      <c r="P19">
        <v>1</v>
      </c>
      <c r="Q19">
        <v>0</v>
      </c>
      <c r="R19">
        <v>-0.84585377072359569</v>
      </c>
      <c r="S19">
        <v>0</v>
      </c>
      <c r="T19">
        <v>0</v>
      </c>
      <c r="U19">
        <v>0</v>
      </c>
      <c r="V19">
        <v>-0.14907681557909974</v>
      </c>
      <c r="W19">
        <v>-5.521460917862246</v>
      </c>
      <c r="X19">
        <v>0</v>
      </c>
      <c r="Y19">
        <v>1.4092976663210022</v>
      </c>
      <c r="Z19">
        <v>2.7363700706453997</v>
      </c>
      <c r="AA19">
        <v>0</v>
      </c>
      <c r="AB19">
        <v>0</v>
      </c>
      <c r="AC19">
        <v>2.036527108893791E-2</v>
      </c>
      <c r="AD19">
        <v>2.7671706907760406E-2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-6.7500000000000004E-2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0.15631568695589643</v>
      </c>
      <c r="AW19">
        <v>0.3357484061896252</v>
      </c>
      <c r="AX19">
        <v>1</v>
      </c>
      <c r="AY19">
        <v>0.14000000000000001</v>
      </c>
      <c r="AZ19">
        <v>-3.8381578947368399E-2</v>
      </c>
      <c r="BA19">
        <v>0.31770208070938211</v>
      </c>
      <c r="BB19">
        <v>0.24312805611673685</v>
      </c>
      <c r="BC19">
        <v>1</v>
      </c>
      <c r="BD19">
        <v>1</v>
      </c>
      <c r="BE19">
        <f t="shared" si="0"/>
        <v>0.19</v>
      </c>
      <c r="BF19">
        <v>1.2283572718835276</v>
      </c>
      <c r="BG19">
        <v>12.697216556036297</v>
      </c>
      <c r="BH19">
        <v>1.6506381522847186E-2</v>
      </c>
      <c r="BI19">
        <v>7.094925146394413</v>
      </c>
      <c r="BJ19">
        <v>8.4664636967975682</v>
      </c>
      <c r="BK19">
        <v>7.785753727222529</v>
      </c>
      <c r="BL19">
        <v>11.264494754279397</v>
      </c>
      <c r="BM19">
        <v>3.267617</v>
      </c>
    </row>
    <row r="20" spans="1:65" x14ac:dyDescent="0.3">
      <c r="A20">
        <v>20</v>
      </c>
      <c r="B20">
        <v>2044</v>
      </c>
      <c r="C20">
        <v>0.11809786585865492</v>
      </c>
      <c r="D20">
        <v>4.2534991377147384E-2</v>
      </c>
      <c r="E20">
        <v>0.98541666666666661</v>
      </c>
      <c r="F20">
        <v>1.052127659574468</v>
      </c>
      <c r="G20">
        <v>1.0863556338028169</v>
      </c>
      <c r="H20">
        <v>1.0576612903225808</v>
      </c>
      <c r="I20">
        <v>1.0909861261111573</v>
      </c>
      <c r="J20">
        <v>0.91666666666666663</v>
      </c>
      <c r="K20">
        <v>0.9545454545454547</v>
      </c>
      <c r="L20">
        <v>1.0172413793103448</v>
      </c>
      <c r="M20">
        <v>0.98387096774193561</v>
      </c>
      <c r="N20">
        <v>1.0149501661129567</v>
      </c>
      <c r="O20">
        <v>1</v>
      </c>
      <c r="P20">
        <v>1</v>
      </c>
      <c r="Q20">
        <v>0</v>
      </c>
      <c r="R20">
        <v>-0.99667666045817926</v>
      </c>
      <c r="S20">
        <v>0</v>
      </c>
      <c r="T20">
        <v>0</v>
      </c>
      <c r="U20">
        <v>0</v>
      </c>
      <c r="V20">
        <v>-0.16564090619899979</v>
      </c>
      <c r="W20">
        <v>-5.521460917862246</v>
      </c>
      <c r="X20">
        <v>0</v>
      </c>
      <c r="Y20">
        <v>1.429956841023426</v>
      </c>
      <c r="Z20">
        <v>2.7581875159569571</v>
      </c>
      <c r="AA20">
        <v>0</v>
      </c>
      <c r="AB20">
        <v>0</v>
      </c>
      <c r="AC20">
        <v>1.9331799620635807E-2</v>
      </c>
      <c r="AD20">
        <v>2.6296646154889421E-2</v>
      </c>
      <c r="AE20">
        <v>1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-6.7500000000000004E-2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0.1593711597997724</v>
      </c>
      <c r="AW20">
        <v>0.3482072948484029</v>
      </c>
      <c r="AX20">
        <v>1</v>
      </c>
      <c r="AY20">
        <v>0.14000000000000001</v>
      </c>
      <c r="AZ20">
        <v>-3.8381578947368399E-2</v>
      </c>
      <c r="BA20">
        <v>0.3312636883340489</v>
      </c>
      <c r="BB20">
        <v>0.25648540749128546</v>
      </c>
      <c r="BC20">
        <v>1</v>
      </c>
      <c r="BD20">
        <v>1</v>
      </c>
      <c r="BE20">
        <f t="shared" si="0"/>
        <v>0.2</v>
      </c>
      <c r="BF20">
        <v>1.2972442710025645</v>
      </c>
      <c r="BG20">
        <v>13.219291148547025</v>
      </c>
      <c r="BH20">
        <v>1.7185078493111131E-2</v>
      </c>
      <c r="BI20">
        <v>7.3913766239499727</v>
      </c>
      <c r="BJ20">
        <v>8.9417464419725139</v>
      </c>
      <c r="BK20">
        <v>8.1722805080066259</v>
      </c>
      <c r="BL20">
        <v>11.651021535063499</v>
      </c>
      <c r="BM20">
        <v>3.49133</v>
      </c>
    </row>
    <row r="21" spans="1:65" x14ac:dyDescent="0.3">
      <c r="A21">
        <v>21</v>
      </c>
      <c r="B21">
        <v>2045</v>
      </c>
      <c r="C21">
        <v>0.11601434794570607</v>
      </c>
      <c r="D21">
        <v>5.1720801258956596E-2</v>
      </c>
      <c r="E21">
        <v>0.97727272727272729</v>
      </c>
      <c r="F21">
        <v>1.0516304347826086</v>
      </c>
      <c r="G21">
        <v>1.0862369337979092</v>
      </c>
      <c r="H21">
        <v>1.0573770491803278</v>
      </c>
      <c r="I21">
        <v>1.0907518827766864</v>
      </c>
      <c r="J21">
        <v>0.90909090909090917</v>
      </c>
      <c r="K21">
        <v>0.95238095238095233</v>
      </c>
      <c r="L21">
        <v>1.0169491525423728</v>
      </c>
      <c r="M21">
        <v>0.98360655737704916</v>
      </c>
      <c r="N21">
        <v>1.0147299509001637</v>
      </c>
      <c r="O21">
        <v>1</v>
      </c>
      <c r="P21">
        <v>1</v>
      </c>
      <c r="Q21">
        <v>0</v>
      </c>
      <c r="R21">
        <v>-1.1591955899559541</v>
      </c>
      <c r="S21">
        <v>0</v>
      </c>
      <c r="T21">
        <v>0</v>
      </c>
      <c r="U21">
        <v>0</v>
      </c>
      <c r="V21">
        <v>-0.18220499681889973</v>
      </c>
      <c r="W21">
        <v>-5.521460917862246</v>
      </c>
      <c r="X21">
        <v>0</v>
      </c>
      <c r="Y21">
        <v>1.4501978388438763</v>
      </c>
      <c r="Z21">
        <v>2.7795391060356884</v>
      </c>
      <c r="AA21">
        <v>0</v>
      </c>
      <c r="AB21">
        <v>0</v>
      </c>
      <c r="AC21">
        <v>1.8343405599073354E-2</v>
      </c>
      <c r="AD21">
        <v>2.4978762423149253E-2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-6.7500000000000004E-2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0.25074550151926217</v>
      </c>
      <c r="AW21">
        <v>0.45970766726296836</v>
      </c>
      <c r="AX21">
        <v>1</v>
      </c>
      <c r="AY21">
        <v>0.14000000000000001</v>
      </c>
      <c r="AZ21">
        <v>-3.8381578947368399E-2</v>
      </c>
      <c r="BA21">
        <v>0.53446230940931694</v>
      </c>
      <c r="BB21">
        <v>0.42519911613406625</v>
      </c>
      <c r="BC21">
        <v>1</v>
      </c>
      <c r="BD21">
        <v>1</v>
      </c>
      <c r="BE21">
        <f t="shared" si="0"/>
        <v>0.21</v>
      </c>
      <c r="BF21">
        <v>1.3661985358453841</v>
      </c>
      <c r="BG21">
        <v>73.44701899688819</v>
      </c>
      <c r="BH21">
        <v>9.5481124695954642E-2</v>
      </c>
      <c r="BI21">
        <v>12.550315625879922</v>
      </c>
      <c r="BJ21">
        <v>15.392273697464081</v>
      </c>
      <c r="BK21">
        <v>13.981778023191607</v>
      </c>
      <c r="BL21">
        <v>66.267255659856431</v>
      </c>
      <c r="BM21">
        <v>3.730531</v>
      </c>
    </row>
    <row r="22" spans="1:65" x14ac:dyDescent="0.3">
      <c r="A22">
        <v>22</v>
      </c>
      <c r="B22">
        <v>2046</v>
      </c>
      <c r="C22">
        <v>0.11601434794570607</v>
      </c>
      <c r="D22">
        <v>5.1720801258956596E-2</v>
      </c>
      <c r="E22">
        <v>0.96749999999999992</v>
      </c>
      <c r="F22">
        <v>1.0511111111111111</v>
      </c>
      <c r="G22">
        <v>1.0824137931034483</v>
      </c>
      <c r="H22">
        <v>1.0391666666666666</v>
      </c>
      <c r="I22">
        <v>1.0993707139975795</v>
      </c>
      <c r="J22">
        <v>0.89999999999999991</v>
      </c>
      <c r="K22">
        <v>0.95</v>
      </c>
      <c r="L22">
        <v>1.0333333333333334</v>
      </c>
      <c r="M22">
        <v>0.96666666666666667</v>
      </c>
      <c r="N22">
        <v>1.0217741935483871</v>
      </c>
      <c r="O22">
        <v>1</v>
      </c>
      <c r="P22">
        <v>1</v>
      </c>
      <c r="Q22">
        <v>0</v>
      </c>
      <c r="R22">
        <v>-1.3335489771007316</v>
      </c>
      <c r="S22">
        <v>0</v>
      </c>
      <c r="T22">
        <v>0</v>
      </c>
      <c r="U22">
        <v>0</v>
      </c>
      <c r="V22">
        <v>-0.1987690874387997</v>
      </c>
      <c r="W22">
        <v>-5.521460917862246</v>
      </c>
      <c r="X22">
        <v>0</v>
      </c>
      <c r="Y22">
        <v>1.4700372536736466</v>
      </c>
      <c r="Z22">
        <v>2.8004443199530309</v>
      </c>
      <c r="AA22">
        <v>0</v>
      </c>
      <c r="AB22">
        <v>0</v>
      </c>
      <c r="AC22">
        <v>1.7398829566141128E-2</v>
      </c>
      <c r="AD22">
        <v>2.3716770626182007E-2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-6.7500000000000004E-2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0.16457829003427343</v>
      </c>
      <c r="AW22">
        <v>0.37225294979311929</v>
      </c>
      <c r="AX22">
        <v>1</v>
      </c>
      <c r="AY22">
        <v>0.14000000000000001</v>
      </c>
      <c r="AZ22">
        <v>-3.8381578947368399E-2</v>
      </c>
      <c r="BA22">
        <v>0.35776956740476945</v>
      </c>
      <c r="BB22">
        <v>0.28360563958395973</v>
      </c>
      <c r="BC22">
        <v>1</v>
      </c>
      <c r="BD22">
        <v>1</v>
      </c>
      <c r="BE22">
        <f t="shared" si="0"/>
        <v>0.22</v>
      </c>
      <c r="BF22">
        <v>1.4352204684295875</v>
      </c>
      <c r="BG22">
        <v>0</v>
      </c>
      <c r="BH22">
        <v>0</v>
      </c>
      <c r="BI22">
        <v>7.9684504462761403</v>
      </c>
      <c r="BJ22">
        <v>9.9079092147676775</v>
      </c>
      <c r="BK22">
        <v>8.9453340695748214</v>
      </c>
      <c r="BL22">
        <v>0</v>
      </c>
      <c r="BM22">
        <v>3.9863029999999999</v>
      </c>
    </row>
    <row r="23" spans="1:65" x14ac:dyDescent="0.3">
      <c r="A23">
        <v>23</v>
      </c>
      <c r="B23">
        <v>2047</v>
      </c>
      <c r="C23">
        <v>0.11601434794570607</v>
      </c>
      <c r="D23">
        <v>5.1720801258956596E-2</v>
      </c>
      <c r="E23">
        <v>0.9555555555555556</v>
      </c>
      <c r="F23">
        <v>1.050568181818182</v>
      </c>
      <c r="G23">
        <v>1.0823630136986302</v>
      </c>
      <c r="H23">
        <v>1.0379310344827586</v>
      </c>
      <c r="I23">
        <v>1.0988304670242979</v>
      </c>
      <c r="J23">
        <v>0.88888888888888895</v>
      </c>
      <c r="K23">
        <v>0.94736842105263153</v>
      </c>
      <c r="L23">
        <v>1.032258064516129</v>
      </c>
      <c r="M23">
        <v>0.96551724137931028</v>
      </c>
      <c r="N23">
        <v>1.021310181531176</v>
      </c>
      <c r="O23">
        <v>1</v>
      </c>
      <c r="P23">
        <v>1</v>
      </c>
      <c r="Q23">
        <v>0</v>
      </c>
      <c r="R23">
        <v>-1.3862943611198906</v>
      </c>
      <c r="S23">
        <v>0</v>
      </c>
      <c r="T23">
        <v>0</v>
      </c>
      <c r="U23">
        <v>0</v>
      </c>
      <c r="V23">
        <v>-0.21533317805869961</v>
      </c>
      <c r="W23">
        <v>-5.521460917862246</v>
      </c>
      <c r="X23">
        <v>0</v>
      </c>
      <c r="Y23">
        <v>1.4894907108829958</v>
      </c>
      <c r="Z23">
        <v>2.820921440023731</v>
      </c>
      <c r="AA23">
        <v>0</v>
      </c>
      <c r="AB23">
        <v>0</v>
      </c>
      <c r="AC23">
        <v>1.6496768387781607E-2</v>
      </c>
      <c r="AD23">
        <v>2.2509286683086605E-2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-6.7500000000000004E-2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0.16678467351697346</v>
      </c>
      <c r="AW23">
        <v>0.38386683556126833</v>
      </c>
      <c r="AX23">
        <v>1</v>
      </c>
      <c r="AY23">
        <v>0.14000000000000001</v>
      </c>
      <c r="AZ23">
        <v>-3.8381578947368399E-2</v>
      </c>
      <c r="BA23">
        <v>0.37071383885082393</v>
      </c>
      <c r="BB23">
        <v>0.29736852030208494</v>
      </c>
      <c r="BC23">
        <v>1</v>
      </c>
      <c r="BD23">
        <v>1</v>
      </c>
      <c r="BE23">
        <f t="shared" si="0"/>
        <v>0.23</v>
      </c>
      <c r="BF23">
        <v>1.5043098142096942</v>
      </c>
      <c r="BG23">
        <v>14.816709490969675</v>
      </c>
      <c r="BH23">
        <v>1.9261722338260578E-2</v>
      </c>
      <c r="BI23">
        <v>8.2490727910467676</v>
      </c>
      <c r="BJ23">
        <v>10.398789242387878</v>
      </c>
      <c r="BK23">
        <v>9.3318608503589182</v>
      </c>
      <c r="BL23">
        <v>12.810601877415788</v>
      </c>
      <c r="BM23">
        <v>4.2598079999999996</v>
      </c>
    </row>
    <row r="24" spans="1:65" x14ac:dyDescent="0.3">
      <c r="A24">
        <v>24</v>
      </c>
      <c r="B24">
        <v>2048</v>
      </c>
      <c r="C24">
        <v>0.11601434794570607</v>
      </c>
      <c r="D24">
        <v>5.1720801258956596E-2</v>
      </c>
      <c r="E24">
        <v>0.94062500000000004</v>
      </c>
      <c r="F24">
        <v>1.0499999999999998</v>
      </c>
      <c r="G24">
        <v>1.0823129251700678</v>
      </c>
      <c r="H24">
        <v>1.0366071428571431</v>
      </c>
      <c r="I24">
        <v>1.0983136528517401</v>
      </c>
      <c r="J24">
        <v>0.87500000000000011</v>
      </c>
      <c r="K24">
        <v>0.94444444444444442</v>
      </c>
      <c r="L24">
        <v>1.03125</v>
      </c>
      <c r="M24">
        <v>0.96428571428571441</v>
      </c>
      <c r="N24">
        <v>1.0208655332302938</v>
      </c>
      <c r="O24">
        <v>1</v>
      </c>
      <c r="P24">
        <v>1</v>
      </c>
      <c r="Q24">
        <v>0</v>
      </c>
      <c r="R24">
        <v>-1.3862943611198906</v>
      </c>
      <c r="S24">
        <v>0</v>
      </c>
      <c r="T24">
        <v>0</v>
      </c>
      <c r="U24">
        <v>0</v>
      </c>
      <c r="V24">
        <v>-0.23189726867859967</v>
      </c>
      <c r="W24">
        <v>-5.521460917862246</v>
      </c>
      <c r="X24">
        <v>0</v>
      </c>
      <c r="Y24">
        <v>1.5085729412567672</v>
      </c>
      <c r="Z24">
        <v>2.8409876478768878</v>
      </c>
      <c r="AA24">
        <v>0</v>
      </c>
      <c r="AB24">
        <v>0</v>
      </c>
      <c r="AC24">
        <v>1.5635887478714361E-2</v>
      </c>
      <c r="AD24">
        <v>2.1354847586764043E-2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-6.7500000000000004E-2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0.16876003749587243</v>
      </c>
      <c r="AW24">
        <v>0.39522573724306265</v>
      </c>
      <c r="AX24">
        <v>1</v>
      </c>
      <c r="AY24">
        <v>0.14000000000000001</v>
      </c>
      <c r="AZ24">
        <v>-3.8381578947368399E-2</v>
      </c>
      <c r="BA24">
        <v>0.38345233157067432</v>
      </c>
      <c r="BB24">
        <v>0.31126657746806891</v>
      </c>
      <c r="BC24">
        <v>1</v>
      </c>
      <c r="BD24">
        <v>1</v>
      </c>
      <c r="BE24">
        <f t="shared" si="0"/>
        <v>0.24</v>
      </c>
      <c r="BF24">
        <v>1.5734666341443346</v>
      </c>
      <c r="BG24">
        <v>15.359580460074014</v>
      </c>
      <c r="BH24">
        <v>1.9967454598096217E-2</v>
      </c>
      <c r="BI24">
        <v>8.5244187582224189</v>
      </c>
      <c r="BJ24">
        <v>10.894868364156492</v>
      </c>
      <c r="BK24">
        <v>9.7183876311430151</v>
      </c>
      <c r="BL24">
        <v>13.19712865819989</v>
      </c>
      <c r="BM24">
        <v>4.5522869999999998</v>
      </c>
    </row>
    <row r="25" spans="1:65" x14ac:dyDescent="0.3">
      <c r="A25">
        <v>25</v>
      </c>
      <c r="B25">
        <v>2049</v>
      </c>
      <c r="C25">
        <v>0.11601434794570607</v>
      </c>
      <c r="D25">
        <v>5.1720801258956596E-2</v>
      </c>
      <c r="E25">
        <v>0.92142857142857126</v>
      </c>
      <c r="F25">
        <v>1.0494047619047622</v>
      </c>
      <c r="G25">
        <v>1.0822635135135135</v>
      </c>
      <c r="H25">
        <v>1.035185185185185</v>
      </c>
      <c r="I25">
        <v>1.0978187792717933</v>
      </c>
      <c r="J25">
        <v>0.85714285714285698</v>
      </c>
      <c r="K25">
        <v>0.94117647058823539</v>
      </c>
      <c r="L25">
        <v>1.0303030303030303</v>
      </c>
      <c r="M25">
        <v>0.96296296296296291</v>
      </c>
      <c r="N25">
        <v>1.0204390613171839</v>
      </c>
      <c r="O25">
        <v>1</v>
      </c>
      <c r="P25">
        <v>1</v>
      </c>
      <c r="Q25">
        <v>0</v>
      </c>
      <c r="R25">
        <v>-1.3862943611198906</v>
      </c>
      <c r="S25">
        <v>0</v>
      </c>
      <c r="T25">
        <v>0</v>
      </c>
      <c r="U25">
        <v>0</v>
      </c>
      <c r="V25">
        <v>-0.24846135929849961</v>
      </c>
      <c r="W25">
        <v>-5.521460917862246</v>
      </c>
      <c r="X25">
        <v>0</v>
      </c>
      <c r="Y25">
        <v>1.5272978480066992</v>
      </c>
      <c r="Z25">
        <v>2.8606591110761186</v>
      </c>
      <c r="AA25">
        <v>0</v>
      </c>
      <c r="AB25">
        <v>0</v>
      </c>
      <c r="AC25">
        <v>1.481483153397885E-2</v>
      </c>
      <c r="AD25">
        <v>2.0251929153883033E-2</v>
      </c>
      <c r="AE25">
        <v>1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-6.7500000000000004E-2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0.17052773878374794</v>
      </c>
      <c r="AW25">
        <v>0.40634252685002109</v>
      </c>
      <c r="AX25">
        <v>1</v>
      </c>
      <c r="AY25">
        <v>0.14000000000000001</v>
      </c>
      <c r="AZ25">
        <v>-3.8381578947368399E-2</v>
      </c>
      <c r="BA25">
        <v>0.39598504556431974</v>
      </c>
      <c r="BB25">
        <v>0.3252998110819123</v>
      </c>
      <c r="BC25">
        <v>1</v>
      </c>
      <c r="BD25">
        <v>1</v>
      </c>
      <c r="BE25">
        <f t="shared" si="0"/>
        <v>0.25</v>
      </c>
      <c r="BF25">
        <v>1.6426906603487994</v>
      </c>
      <c r="BG25">
        <v>15.907650523327064</v>
      </c>
      <c r="BH25">
        <v>2.0679945680325183E-2</v>
      </c>
      <c r="BI25">
        <v>8.7944883478030711</v>
      </c>
      <c r="BJ25">
        <v>11.396146580073548</v>
      </c>
      <c r="BK25">
        <v>10.104914411927112</v>
      </c>
      <c r="BL25">
        <v>13.583655438983975</v>
      </c>
      <c r="BM25">
        <v>4.8650700000000002</v>
      </c>
    </row>
    <row r="26" spans="1:65" x14ac:dyDescent="0.3">
      <c r="A26">
        <v>26</v>
      </c>
      <c r="B26">
        <v>2050</v>
      </c>
      <c r="C26">
        <v>0.11601434794570607</v>
      </c>
      <c r="D26">
        <v>5.1720801258956596E-2</v>
      </c>
      <c r="E26">
        <v>0.89583333333333337</v>
      </c>
      <c r="F26">
        <v>1.0487804878048781</v>
      </c>
      <c r="G26">
        <v>1.0822147651006711</v>
      </c>
      <c r="H26">
        <v>1.033653846153846</v>
      </c>
      <c r="I26">
        <v>1.0973444781418742</v>
      </c>
      <c r="J26">
        <v>0.83333333333333337</v>
      </c>
      <c r="K26">
        <v>0.9375</v>
      </c>
      <c r="L26">
        <v>1.0294117647058825</v>
      </c>
      <c r="M26">
        <v>0.96153846153846145</v>
      </c>
      <c r="N26">
        <v>1.0200296735905043</v>
      </c>
      <c r="O26">
        <v>1</v>
      </c>
      <c r="P26">
        <v>1</v>
      </c>
      <c r="Q26">
        <v>0</v>
      </c>
      <c r="R26">
        <v>-1.3862943611198906</v>
      </c>
      <c r="S26">
        <v>0</v>
      </c>
      <c r="T26">
        <v>0</v>
      </c>
      <c r="U26">
        <v>0</v>
      </c>
      <c r="V26">
        <v>-0.2650254499183996</v>
      </c>
      <c r="W26">
        <v>-5.521460917862246</v>
      </c>
      <c r="X26">
        <v>0</v>
      </c>
      <c r="Y26">
        <v>1.5456785676241873</v>
      </c>
      <c r="Z26">
        <v>2.8799510613829509</v>
      </c>
      <c r="AA26">
        <v>0</v>
      </c>
      <c r="AB26">
        <v>0</v>
      </c>
      <c r="AC26">
        <v>1.394951333485943E-2</v>
      </c>
      <c r="AD26">
        <v>1.7801339589469077E-2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-6.7500000000000004E-2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0.23141495042485999</v>
      </c>
      <c r="AW26">
        <v>0.49043108014036285</v>
      </c>
      <c r="AX26">
        <v>0</v>
      </c>
      <c r="AY26">
        <v>0.14000000000000001</v>
      </c>
      <c r="AZ26">
        <v>-3.8381578947368399E-2</v>
      </c>
      <c r="BA26">
        <v>0.56700484632745951</v>
      </c>
      <c r="BB26">
        <v>0.47846831584043548</v>
      </c>
      <c r="BC26">
        <v>1</v>
      </c>
      <c r="BD26">
        <v>1</v>
      </c>
      <c r="BE26">
        <f t="shared" si="0"/>
        <v>0.26</v>
      </c>
      <c r="BF26">
        <v>1.7119816847925917</v>
      </c>
      <c r="BG26">
        <v>69.922494564120896</v>
      </c>
      <c r="BH26">
        <v>9.0899242933357161E-2</v>
      </c>
      <c r="BI26">
        <v>13.128329393011782</v>
      </c>
      <c r="BJ26">
        <v>17.248781378478281</v>
      </c>
      <c r="BK26">
        <v>15.20375483158476</v>
      </c>
      <c r="BL26">
        <v>61.093318608503587</v>
      </c>
      <c r="BM26">
        <v>5.1995820000000004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</vt:lpstr>
      <vt:lpstr>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 Schult</cp:lastModifiedBy>
  <dcterms:modified xsi:type="dcterms:W3CDTF">2026-06-07T20:50:24Z</dcterms:modified>
</cp:coreProperties>
</file>