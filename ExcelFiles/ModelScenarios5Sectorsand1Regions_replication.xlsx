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3C9BB767-384E-4B2A-9223-212B5A53BC41}" xr6:coauthVersionLast="47" xr6:coauthVersionMax="47" xr10:uidLastSave="{00000000-0000-0000-0000-000000000000}"/>
  <bookViews>
    <workbookView xWindow="-120" yWindow="-120" windowWidth="51840" windowHeight="21120" firstSheet="13" activeTab="17" xr2:uid="{00000000-000D-0000-FFFF-FFFF00000000}"/>
  </bookViews>
  <sheets>
    <sheet name="Sheet1" sheetId="1" r:id="rId1"/>
    <sheet name="NZ" sheetId="14" r:id="rId2"/>
    <sheet name="NZ_constEE" sheetId="15" r:id="rId3"/>
    <sheet name="NZ_constInt" sheetId="16" r:id="rId4"/>
    <sheet name="NZ_constEEInt" sheetId="17" r:id="rId5"/>
    <sheet name="NZ_subsidy" sheetId="18" r:id="rId6"/>
    <sheet name="ImportShock_Fossil2_P10" sheetId="19" r:id="rId7"/>
    <sheet name="PDP8_GF_A" sheetId="20" r:id="rId8"/>
    <sheet name="PDP8_GF_B" sheetId="21" r:id="rId9"/>
    <sheet name="PDP8_GF_C" sheetId="22" r:id="rId10"/>
    <sheet name="NZ_GF_A" sheetId="23" r:id="rId11"/>
    <sheet name="NZ_GF_B" sheetId="24" r:id="rId12"/>
    <sheet name="NZ_GF_C" sheetId="25" r:id="rId13"/>
    <sheet name="EE_PDP8_ref" sheetId="26" r:id="rId14"/>
    <sheet name="EE_PDP8_ref_NoBESS" sheetId="27" r:id="rId15"/>
    <sheet name="EE_Dir10_full" sheetId="28" r:id="rId16"/>
    <sheet name="EE_Dir10_full_NoBESS (2)" sheetId="41" r:id="rId17"/>
    <sheet name="EE_Dir10_full_NoBESS" sheetId="29" r:id="rId18"/>
    <sheet name="EE_RTS_prerev_95GW" sheetId="30" r:id="rId19"/>
    <sheet name="EE_RTS_prerev_95GW_NoBESS" sheetId="31" r:id="rId20"/>
    <sheet name="EE_Dir10_RTSslice" sheetId="32" r:id="rId21"/>
    <sheet name="EE_Dir10_RTSslice_NoBESS" sheetId="33" r:id="rId22"/>
    <sheet name="EE_Dir10_EEonly" sheetId="34" r:id="rId23"/>
    <sheet name="EE_Dir10_EEonly_NoBESS" sheetId="35" r:id="rId24"/>
    <sheet name="NZ_Dir10_full" sheetId="36" r:id="rId25"/>
    <sheet name="NZ_Dir10_full_NoBESS" sheetId="37" r:id="rId26"/>
    <sheet name="NZ_RTS_prerev_95GW" sheetId="38" r:id="rId27"/>
    <sheet name="NZ_RTS_prerev_95GW_NoBESS" sheetId="39" r:id="rId28"/>
    <sheet name="NZ_Dir10_full_GF_C" sheetId="40" r:id="rId29"/>
  </sheets>
  <externalReferences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8" l="1"/>
  <c r="A25" i="18" s="1"/>
  <c r="A26" i="18" s="1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24" i="17"/>
  <c r="A25" i="17" s="1"/>
  <c r="A26" i="17" s="1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24" i="16"/>
  <c r="A25" i="16" s="1"/>
  <c r="A26" i="16" s="1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4" i="15"/>
  <c r="A25" i="15" s="1"/>
  <c r="A26" i="15" s="1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E7" i="14"/>
  <c r="G7" i="14" s="1"/>
  <c r="F6" i="14"/>
  <c r="E6" i="14"/>
  <c r="B6" i="14" s="1"/>
  <c r="F5" i="14"/>
  <c r="E5" i="14"/>
  <c r="B5" i="14" s="1"/>
  <c r="F4" i="14"/>
  <c r="E4" i="14"/>
  <c r="G4" i="14" s="1"/>
  <c r="F3" i="14"/>
  <c r="E3" i="14"/>
  <c r="G3" i="14" s="1"/>
  <c r="F2" i="14"/>
  <c r="E2" i="14"/>
  <c r="G2" i="14" s="1"/>
  <c r="B2" i="14" l="1"/>
  <c r="B4" i="14"/>
  <c r="B7" i="14"/>
  <c r="E8" i="14"/>
  <c r="G6" i="14"/>
  <c r="G5" i="14"/>
  <c r="B3" i="14"/>
  <c r="G8" i="14" l="1"/>
  <c r="B8" i="14"/>
  <c r="E9" i="14"/>
  <c r="E10" i="14" l="1"/>
  <c r="G9" i="14"/>
  <c r="B9" i="14"/>
  <c r="E11" i="14" l="1"/>
  <c r="G10" i="14"/>
  <c r="B10" i="14"/>
  <c r="G11" i="14" l="1"/>
  <c r="B11" i="14"/>
  <c r="E12" i="14"/>
  <c r="G12" i="14" l="1"/>
  <c r="B12" i="14"/>
  <c r="E13" i="14"/>
  <c r="B13" i="14" l="1"/>
  <c r="E14" i="14"/>
  <c r="G13" i="14"/>
  <c r="B14" i="14" l="1"/>
  <c r="E15" i="14"/>
  <c r="G14" i="14"/>
  <c r="E16" i="14" l="1"/>
  <c r="B15" i="14"/>
  <c r="G15" i="14"/>
  <c r="E17" i="14" l="1"/>
  <c r="G16" i="14"/>
  <c r="B16" i="14"/>
  <c r="E18" i="14" l="1"/>
  <c r="G17" i="14"/>
  <c r="B17" i="14"/>
  <c r="G18" i="14" l="1"/>
  <c r="E19" i="14"/>
  <c r="B18" i="14"/>
  <c r="G19" i="14" l="1"/>
  <c r="E20" i="14"/>
  <c r="B19" i="14"/>
  <c r="G20" i="14" l="1"/>
  <c r="E21" i="14"/>
  <c r="B20" i="14"/>
  <c r="B21" i="14" l="1"/>
  <c r="E22" i="14"/>
  <c r="G21" i="14"/>
  <c r="G22" i="14" l="1"/>
  <c r="B22" i="14"/>
  <c r="E23" i="14"/>
  <c r="E24" i="14" l="1"/>
  <c r="G23" i="14"/>
  <c r="B23" i="14"/>
  <c r="E25" i="14" l="1"/>
  <c r="G24" i="14"/>
  <c r="B24" i="14"/>
  <c r="E26" i="14" l="1"/>
  <c r="G25" i="14"/>
  <c r="B25" i="14"/>
  <c r="B26" i="14" l="1"/>
  <c r="G26" i="14"/>
</calcChain>
</file>

<file path=xl/sharedStrings.xml><?xml version="1.0" encoding="utf-8"?>
<sst xmlns="http://schemas.openxmlformats.org/spreadsheetml/2006/main" count="273" uniqueCount="188">
  <si>
    <t> </t>
  </si>
  <si>
    <t>exo_CapTrade_1</t>
  </si>
  <si>
    <t>Time</t>
  </si>
  <si>
    <t>exo_CapTrade_1</t>
  </si>
  <si>
    <t>Time</t>
  </si>
  <si>
    <t>exo_E_1</t>
  </si>
  <si>
    <t>exo_tauS_1</t>
  </si>
  <si>
    <t>E_1</t>
  </si>
  <si>
    <t>E_Base</t>
  </si>
  <si>
    <t>exo_K_G_2_1</t>
  </si>
  <si>
    <t>exo_EE_1</t>
  </si>
  <si>
    <t>exo_kappaE_2_1</t>
  </si>
  <si>
    <t>exo_lMAmount_2</t>
  </si>
  <si>
    <t>exo_MAmt_2</t>
  </si>
  <si>
    <t>exo_r_G_3_1</t>
  </si>
  <si>
    <t>exo_r_FDI_3_1</t>
  </si>
  <si>
    <t>exo_lIGShare_3_1</t>
  </si>
  <si>
    <t>exo_sIGShare_3_1</t>
  </si>
  <si>
    <t>exo_lFDIShare_3_1</t>
  </si>
  <si>
    <t>exo_sFDIShare_3_1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</si>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</sst>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3" fillId="0" borderId="1"/>
  </cellStyleXfs>
  <cellXfs count="4">
    <xf numFmtId="0" fontId="0" fillId="0" borderId="0" xfId="0"/>
    <xf numFmtId="0" fontId="1" fillId="2" borderId="1" xfId="1" applyFill="1"/>
    <xf numFmtId="0" fontId="2" fillId="2" borderId="1" xfId="1" applyFont="1" applyFill="1"/>
    <xf numFmtId="0" fontId="1" fillId="0" borderId="1" xfId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ul\Documents\GitHub\DGE-METRIC\ExcelFiles\Archive\ModelSimulationandCalibration5Sectorsand1Regions.xlsx" TargetMode="External"/><Relationship Id="rId1" Type="http://schemas.openxmlformats.org/officeDocument/2006/relationships/externalLinkPath" Target="Archive/ModelSimulationandCalibration5Sectorsand1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IO_Data"/>
      <sheetName val="Trade_Flows"/>
      <sheetName val="Data"/>
      <sheetName val="Baseline_Input"/>
      <sheetName val="Baseline_calc"/>
      <sheetName val="Start"/>
      <sheetName val="Structural Parameters"/>
      <sheetName val="Baseline"/>
      <sheetName val="RTS"/>
      <sheetName val="RTS_CapandTrade"/>
      <sheetName val="PDP8_subsidies"/>
      <sheetName val="PDP8_concessional"/>
      <sheetName val="PDP8_conandsub"/>
      <sheetName val="EE_CapandTrade"/>
      <sheetName val="EE"/>
      <sheetName val="NZ"/>
      <sheetName val="NZ_concessional"/>
      <sheetName val="NZ_conandsub"/>
      <sheetName val="NZ_subsidies"/>
      <sheetName val="NZ_constEE"/>
      <sheetName val="NZ_constInt"/>
      <sheetName val="NZ_constEEInt"/>
      <sheetName val="NZ_lowphiK"/>
      <sheetName val="Finance_RG"/>
      <sheetName val="Baseline_test"/>
      <sheetName val="NZCalib"/>
      <sheetName val="BaselineCalib"/>
      <sheetName val="QA_Spe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2</v>
          </cell>
          <cell r="P2">
            <v>4.8790164169432049E-2</v>
          </cell>
        </row>
        <row r="3">
          <cell r="A3">
            <v>3</v>
          </cell>
          <cell r="P3">
            <v>7.8348966410976523E-2</v>
          </cell>
        </row>
        <row r="4">
          <cell r="A4">
            <v>4</v>
          </cell>
          <cell r="P4">
            <v>9.8151593707156273E-2</v>
          </cell>
        </row>
        <row r="5">
          <cell r="A5">
            <v>5</v>
          </cell>
          <cell r="P5">
            <v>0.10810192456032432</v>
          </cell>
        </row>
        <row r="6">
          <cell r="A6">
            <v>6</v>
          </cell>
          <cell r="P6">
            <v>0.10810192456032432</v>
          </cell>
        </row>
        <row r="7">
          <cell r="A7">
            <v>7</v>
          </cell>
          <cell r="P7">
            <v>9.8051588706822929E-2</v>
          </cell>
        </row>
        <row r="8">
          <cell r="A8">
            <v>8</v>
          </cell>
          <cell r="P8">
            <v>7.7848881389303376E-2</v>
          </cell>
        </row>
        <row r="9">
          <cell r="A9">
            <v>9</v>
          </cell>
          <cell r="P9">
            <v>4.7389673904594899E-2</v>
          </cell>
        </row>
        <row r="10">
          <cell r="A10">
            <v>10</v>
          </cell>
          <cell r="P10">
            <v>6.5676793843398454E-3</v>
          </cell>
        </row>
        <row r="11">
          <cell r="A11">
            <v>11</v>
          </cell>
          <cell r="P11">
            <v>-4.4725615003210609E-2</v>
          </cell>
        </row>
        <row r="12">
          <cell r="A12">
            <v>12</v>
          </cell>
          <cell r="P12">
            <v>-0.10660101872129805</v>
          </cell>
        </row>
        <row r="13">
          <cell r="A13">
            <v>13</v>
          </cell>
          <cell r="P13">
            <v>-0.17917171155613346</v>
          </cell>
        </row>
        <row r="14">
          <cell r="A14">
            <v>14</v>
          </cell>
          <cell r="P14">
            <v>-0.26255332049518443</v>
          </cell>
        </row>
        <row r="15">
          <cell r="A15">
            <v>15</v>
          </cell>
          <cell r="P15">
            <v>-0.35686399996642576</v>
          </cell>
        </row>
        <row r="16">
          <cell r="A16">
            <v>16</v>
          </cell>
          <cell r="P16">
            <v>-0.46222451562425199</v>
          </cell>
        </row>
        <row r="17">
          <cell r="A17">
            <v>17</v>
          </cell>
          <cell r="P17">
            <v>-0.57875833188020342</v>
          </cell>
        </row>
        <row r="18">
          <cell r="A18">
            <v>18</v>
          </cell>
          <cell r="P18">
            <v>-0.70659170339008837</v>
          </cell>
        </row>
        <row r="19">
          <cell r="A19">
            <v>19</v>
          </cell>
          <cell r="P19">
            <v>-0.8458537707235958</v>
          </cell>
        </row>
        <row r="20">
          <cell r="A20">
            <v>20</v>
          </cell>
          <cell r="P20">
            <v>-0.99667666045817938</v>
          </cell>
        </row>
        <row r="21">
          <cell r="A21">
            <v>21</v>
          </cell>
          <cell r="P21">
            <v>-1.1591955899559543</v>
          </cell>
        </row>
        <row r="22">
          <cell r="A22">
            <v>22</v>
          </cell>
          <cell r="P22">
            <v>-1.3335489771007318</v>
          </cell>
        </row>
        <row r="23">
          <cell r="A23">
            <v>23</v>
          </cell>
          <cell r="P23">
            <v>-1.3862943611198906</v>
          </cell>
        </row>
        <row r="24">
          <cell r="A24">
            <v>24</v>
          </cell>
          <cell r="P24">
            <v>-1.3862943611198906</v>
          </cell>
        </row>
        <row r="25">
          <cell r="P25">
            <v>-1.3862943611198906</v>
          </cell>
        </row>
        <row r="26">
          <cell r="P26">
            <v>-1.3862943611198906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D2C7-7DE6-4C1D-A4F2-C567EB169410}">
  <dimension ref="A1"/>
  <sheetViews>
    <sheetView workbookViewId="0"/>
  </sheetViews>
  <sheetFormatPr defaultRowHeight="15" x14ac:dyDescent="0.25"/>
  <cols>
    <col min="1" max="1" width="1.5703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E5E7-1B1D-4C62-9B1C-5F6C93C96787}">
  <dimension ref="A1:G26"/>
  <sheetViews>
    <sheetView zoomScale="145" zoomScaleNormal="145" workbookViewId="0">
      <selection activeCell="C23" sqref="C23"/>
    </sheetView>
  </sheetViews>
  <sheetFormatPr defaultRowHeight="15" x14ac:dyDescent="0.25"/>
  <cols>
    <col min="1" max="1" width="3.140625" customWidth="1"/>
    <col min="2" max="2" width="13.42578125" bestFit="1" customWidth="1"/>
    <col min="3" max="3" width="15.7109375" bestFit="1" customWidth="1"/>
    <col min="7" max="7" width="13.42578125" bestFit="1" customWidth="1"/>
  </cols>
  <sheetData>
    <row r="1" spans="1:7" x14ac:dyDescent="0.25">
      <c r="A1" s="1" t="s">
        <v>2</v>
      </c>
      <c r="B1" s="2" t="s">
        <v>5</v>
      </c>
      <c r="C1" s="2" t="s">
        <v>1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5">
      <c r="A2" s="3">
        <v>2</v>
      </c>
      <c r="B2" s="3">
        <f>LN(E2)</f>
        <v>4.8790164169432049E-2</v>
      </c>
      <c r="C2" s="3">
        <v>1</v>
      </c>
      <c r="D2" s="3">
        <v>0</v>
      </c>
      <c r="E2" s="3">
        <f>EXP([1]Baseline!P2)</f>
        <v>1.05</v>
      </c>
      <c r="F2" s="3">
        <f>EXP([1]Baseline!P2)</f>
        <v>1.05</v>
      </c>
      <c r="G2" s="3">
        <f>LN(MIN(1,E2^2))</f>
        <v>0</v>
      </c>
    </row>
    <row r="3" spans="1:7" x14ac:dyDescent="0.25">
      <c r="A3" s="3">
        <v>3</v>
      </c>
      <c r="B3" s="3">
        <f t="shared" ref="B3:B26" si="0">LN(E3)</f>
        <v>2.7055672023425903E-2</v>
      </c>
      <c r="C3" s="3">
        <v>1</v>
      </c>
      <c r="D3" s="3">
        <v>0</v>
      </c>
      <c r="E3" s="3">
        <f>EXP([1]Baseline!P3)*0.95^($A3/$A$3)</f>
        <v>1.027425</v>
      </c>
      <c r="F3" s="3">
        <f>EXP([1]Baseline!P3)</f>
        <v>1.0815000000000001</v>
      </c>
      <c r="G3" s="3">
        <f t="shared" ref="G3:G26" si="1">LN(MIN(1,E3^2))</f>
        <v>0</v>
      </c>
    </row>
    <row r="4" spans="1:7" x14ac:dyDescent="0.25">
      <c r="A4" s="3">
        <v>4</v>
      </c>
      <c r="B4" s="3">
        <f t="shared" si="0"/>
        <v>2.9760534523755506E-2</v>
      </c>
      <c r="C4" s="3">
        <v>1</v>
      </c>
      <c r="D4" s="3">
        <v>0</v>
      </c>
      <c r="E4" s="3">
        <f>EXP([1]Baseline!P4)*0.95^(A4/$A$3)</f>
        <v>1.0302078052104824</v>
      </c>
      <c r="F4" s="3">
        <f>EXP([1]Baseline!P4)</f>
        <v>1.1031300000000002</v>
      </c>
      <c r="G4" s="3">
        <f t="shared" si="1"/>
        <v>0</v>
      </c>
    </row>
    <row r="5" spans="1:7" x14ac:dyDescent="0.25">
      <c r="A5" s="3">
        <v>5</v>
      </c>
      <c r="B5" s="3">
        <f t="shared" si="0"/>
        <v>2.2613100581073256E-2</v>
      </c>
      <c r="C5" s="3">
        <v>1</v>
      </c>
      <c r="D5" s="3">
        <v>0</v>
      </c>
      <c r="E5" s="3">
        <f>EXP([1]Baseline!P5)*0.95^(A5/$A$3)</f>
        <v>1.0228707148947611</v>
      </c>
      <c r="F5" s="3">
        <f>EXP([1]Baseline!P5)</f>
        <v>1.1141613000000001</v>
      </c>
      <c r="G5" s="3">
        <f t="shared" si="1"/>
        <v>0</v>
      </c>
    </row>
    <row r="6" spans="1:7" x14ac:dyDescent="0.25">
      <c r="A6" s="3">
        <v>6</v>
      </c>
      <c r="B6" s="3">
        <f t="shared" si="0"/>
        <v>5.5153357852233045E-3</v>
      </c>
      <c r="C6" s="3">
        <v>1</v>
      </c>
      <c r="D6" s="3">
        <v>0</v>
      </c>
      <c r="E6" s="3">
        <f>EXP([1]Baseline!P6)*0.95^(A6/$A$3)</f>
        <v>1.0055305732500002</v>
      </c>
      <c r="F6" s="3">
        <f>EXP([1]Baseline!P6)</f>
        <v>1.1141613000000001</v>
      </c>
      <c r="G6" s="3">
        <f t="shared" si="1"/>
        <v>0</v>
      </c>
    </row>
    <row r="7" spans="1:7" x14ac:dyDescent="0.25">
      <c r="A7" s="3">
        <v>7</v>
      </c>
      <c r="B7" s="3">
        <f t="shared" si="0"/>
        <v>-2.1632764864128393E-2</v>
      </c>
      <c r="C7" s="3">
        <v>1</v>
      </c>
      <c r="D7" s="3">
        <v>0</v>
      </c>
      <c r="E7" s="3">
        <f>EXP([1]Baseline!P7)*0.95^(A7/$A$3)</f>
        <v>0.97859954520846326</v>
      </c>
      <c r="F7" s="3">
        <f>EXP([1]Baseline!P7)</f>
        <v>1.1030196870000002</v>
      </c>
      <c r="G7" s="3">
        <f t="shared" si="1"/>
        <v>-4.3265529728256806E-2</v>
      </c>
    </row>
    <row r="8" spans="1:7" x14ac:dyDescent="0.25">
      <c r="A8" s="3">
        <v>8</v>
      </c>
      <c r="B8" s="3">
        <f t="shared" si="0"/>
        <v>-0.18415169436190337</v>
      </c>
      <c r="C8" s="3">
        <v>1</v>
      </c>
      <c r="D8" s="3">
        <v>0</v>
      </c>
      <c r="E8" s="3">
        <f>MAX(0.05,E7*0.85)</f>
        <v>0.83180961342719373</v>
      </c>
      <c r="F8" s="3">
        <f>EXP([1]Baseline!P8)</f>
        <v>1.0809592932600001</v>
      </c>
      <c r="G8" s="3">
        <f t="shared" si="1"/>
        <v>-0.3683033887238068</v>
      </c>
    </row>
    <row r="9" spans="1:7" x14ac:dyDescent="0.25">
      <c r="A9" s="3">
        <v>9</v>
      </c>
      <c r="B9" s="3">
        <f t="shared" si="0"/>
        <v>-0.34667062385967828</v>
      </c>
      <c r="C9" s="3">
        <v>1</v>
      </c>
      <c r="D9" s="3">
        <v>0</v>
      </c>
      <c r="E9" s="3">
        <f t="shared" ref="E9:E26" si="2">MAX(0.05,E8*0.85)</f>
        <v>0.70703817141311465</v>
      </c>
      <c r="F9" s="3">
        <f>EXP([1]Baseline!P9)</f>
        <v>1.0485305144622001</v>
      </c>
      <c r="G9" s="3">
        <f t="shared" si="1"/>
        <v>-0.69334124771935668</v>
      </c>
    </row>
    <row r="10" spans="1:7" x14ac:dyDescent="0.25">
      <c r="A10" s="3">
        <v>10</v>
      </c>
      <c r="B10" s="3">
        <f t="shared" si="0"/>
        <v>-0.5091895533574532</v>
      </c>
      <c r="C10" s="3">
        <v>1</v>
      </c>
      <c r="D10" s="3">
        <v>0</v>
      </c>
      <c r="E10" s="3">
        <f t="shared" si="2"/>
        <v>0.60098244570114745</v>
      </c>
      <c r="F10" s="3">
        <f>EXP([1]Baseline!P10)</f>
        <v>1.0065892938837122</v>
      </c>
      <c r="G10" s="3">
        <f t="shared" si="1"/>
        <v>-1.0183791067149064</v>
      </c>
    </row>
    <row r="11" spans="1:7" x14ac:dyDescent="0.25">
      <c r="A11" s="3">
        <v>11</v>
      </c>
      <c r="B11" s="3">
        <f t="shared" si="0"/>
        <v>-0.67170848285522811</v>
      </c>
      <c r="C11" s="3">
        <v>1</v>
      </c>
      <c r="D11" s="3">
        <v>0</v>
      </c>
      <c r="E11" s="3">
        <f t="shared" si="2"/>
        <v>0.51083507884597534</v>
      </c>
      <c r="F11" s="3">
        <f>EXP([1]Baseline!P11)</f>
        <v>0.95625982918952668</v>
      </c>
      <c r="G11" s="3">
        <f t="shared" si="1"/>
        <v>-1.3434169657104562</v>
      </c>
    </row>
    <row r="12" spans="1:7" x14ac:dyDescent="0.25">
      <c r="A12" s="3">
        <v>12</v>
      </c>
      <c r="B12" s="3">
        <f t="shared" si="0"/>
        <v>-0.83422741235300313</v>
      </c>
      <c r="C12" s="3">
        <v>1</v>
      </c>
      <c r="D12" s="3">
        <v>0</v>
      </c>
      <c r="E12" s="3">
        <f t="shared" si="2"/>
        <v>0.43420981701907901</v>
      </c>
      <c r="F12" s="3">
        <f>EXP([1]Baseline!P12)</f>
        <v>0.8988842394381551</v>
      </c>
      <c r="G12" s="3">
        <f t="shared" si="1"/>
        <v>-1.6684548247060063</v>
      </c>
    </row>
    <row r="13" spans="1:7" x14ac:dyDescent="0.25">
      <c r="A13" s="3">
        <v>13</v>
      </c>
      <c r="B13" s="3">
        <f t="shared" si="0"/>
        <v>-0.99674634185077793</v>
      </c>
      <c r="C13" s="3">
        <v>1</v>
      </c>
      <c r="D13" s="3">
        <v>0</v>
      </c>
      <c r="E13" s="3">
        <f t="shared" si="2"/>
        <v>0.36907834446621718</v>
      </c>
      <c r="F13" s="3">
        <f>EXP([1]Baseline!P13)</f>
        <v>0.83596234267748426</v>
      </c>
      <c r="G13" s="3">
        <f t="shared" si="1"/>
        <v>-1.9934926837015561</v>
      </c>
    </row>
    <row r="14" spans="1:7" x14ac:dyDescent="0.25">
      <c r="A14" s="3">
        <v>14</v>
      </c>
      <c r="B14" s="3">
        <f t="shared" si="0"/>
        <v>-1.159265271348553</v>
      </c>
      <c r="C14" s="3">
        <v>1</v>
      </c>
      <c r="D14" s="3">
        <v>0</v>
      </c>
      <c r="E14" s="3">
        <f t="shared" si="2"/>
        <v>0.31371659279628461</v>
      </c>
      <c r="F14" s="3">
        <f>EXP([1]Baseline!P14)</f>
        <v>0.76908535526328559</v>
      </c>
      <c r="G14" s="3">
        <f t="shared" si="1"/>
        <v>-2.3185305426971059</v>
      </c>
    </row>
    <row r="15" spans="1:7" x14ac:dyDescent="0.25">
      <c r="A15" s="3">
        <v>15</v>
      </c>
      <c r="B15" s="3">
        <f t="shared" si="0"/>
        <v>-1.3217842008463279</v>
      </c>
      <c r="C15" s="3">
        <v>1</v>
      </c>
      <c r="D15" s="3">
        <v>0</v>
      </c>
      <c r="E15" s="3">
        <f t="shared" si="2"/>
        <v>0.26665910387684189</v>
      </c>
      <c r="F15" s="3">
        <f>EXP([1]Baseline!P15)</f>
        <v>0.69986767328958988</v>
      </c>
      <c r="G15" s="3">
        <f t="shared" si="1"/>
        <v>-2.6435684016926557</v>
      </c>
    </row>
    <row r="16" spans="1:7" x14ac:dyDescent="0.25">
      <c r="A16" s="3">
        <v>16</v>
      </c>
      <c r="B16" s="3">
        <f t="shared" si="0"/>
        <v>-1.4843031303441028</v>
      </c>
      <c r="C16" s="3">
        <v>1</v>
      </c>
      <c r="D16" s="3">
        <v>0</v>
      </c>
      <c r="E16" s="3">
        <f t="shared" si="2"/>
        <v>0.22666023829531559</v>
      </c>
      <c r="F16" s="3">
        <f>EXP([1]Baseline!P16)</f>
        <v>0.62988090596063095</v>
      </c>
      <c r="G16" s="3">
        <f t="shared" si="1"/>
        <v>-2.9686062606882055</v>
      </c>
    </row>
    <row r="17" spans="1:7" x14ac:dyDescent="0.25">
      <c r="A17" s="3">
        <v>17</v>
      </c>
      <c r="B17" s="3">
        <f t="shared" si="0"/>
        <v>-1.6468220598418779</v>
      </c>
      <c r="C17" s="3">
        <v>1</v>
      </c>
      <c r="D17" s="3">
        <v>0</v>
      </c>
      <c r="E17" s="3">
        <f t="shared" si="2"/>
        <v>0.19266120255101823</v>
      </c>
      <c r="F17" s="3">
        <f>EXP([1]Baseline!P17)</f>
        <v>0.56059400630496159</v>
      </c>
      <c r="G17" s="3">
        <f t="shared" si="1"/>
        <v>-3.2936441196837558</v>
      </c>
    </row>
    <row r="18" spans="1:7" x14ac:dyDescent="0.25">
      <c r="A18" s="3">
        <v>18</v>
      </c>
      <c r="B18" s="3">
        <f t="shared" si="0"/>
        <v>-1.8093409893396528</v>
      </c>
      <c r="C18" s="3">
        <v>1</v>
      </c>
      <c r="D18" s="3">
        <v>0</v>
      </c>
      <c r="E18" s="3">
        <f t="shared" si="2"/>
        <v>0.1637620221683655</v>
      </c>
      <c r="F18" s="3">
        <f>EXP([1]Baseline!P18)</f>
        <v>0.4933227255483662</v>
      </c>
      <c r="G18" s="3">
        <f t="shared" si="1"/>
        <v>-3.6186819786793056</v>
      </c>
    </row>
    <row r="19" spans="1:7" x14ac:dyDescent="0.25">
      <c r="A19" s="3">
        <v>19</v>
      </c>
      <c r="B19" s="3">
        <f t="shared" si="0"/>
        <v>-1.9718599188374277</v>
      </c>
      <c r="C19" s="3">
        <v>1</v>
      </c>
      <c r="D19" s="3">
        <v>0</v>
      </c>
      <c r="E19" s="3">
        <f t="shared" si="2"/>
        <v>0.13919771884311066</v>
      </c>
      <c r="F19" s="3">
        <f>EXP([1]Baseline!P19)</f>
        <v>0.42919077122707866</v>
      </c>
      <c r="G19" s="3">
        <f t="shared" si="1"/>
        <v>-3.9437198376748555</v>
      </c>
    </row>
    <row r="20" spans="1:7" x14ac:dyDescent="0.25">
      <c r="A20" s="3">
        <v>20</v>
      </c>
      <c r="B20" s="3">
        <f t="shared" si="0"/>
        <v>-2.1343788483352029</v>
      </c>
      <c r="C20" s="3">
        <v>1</v>
      </c>
      <c r="D20" s="3">
        <v>0</v>
      </c>
      <c r="E20" s="3">
        <f t="shared" si="2"/>
        <v>0.11831806101664406</v>
      </c>
      <c r="F20" s="3">
        <f>EXP([1]Baseline!P20)</f>
        <v>0.36910406325528766</v>
      </c>
      <c r="G20" s="3">
        <f t="shared" si="1"/>
        <v>-4.2687576966704057</v>
      </c>
    </row>
    <row r="21" spans="1:7" x14ac:dyDescent="0.25">
      <c r="A21" s="3">
        <v>21</v>
      </c>
      <c r="B21" s="3">
        <f t="shared" si="0"/>
        <v>-2.2968977778329775</v>
      </c>
      <c r="C21" s="3">
        <v>1</v>
      </c>
      <c r="D21" s="3">
        <v>0</v>
      </c>
      <c r="E21" s="3">
        <f t="shared" si="2"/>
        <v>0.10057035186414745</v>
      </c>
      <c r="F21" s="3">
        <f>EXP([1]Baseline!P21)</f>
        <v>0.31373845376699455</v>
      </c>
      <c r="G21" s="3">
        <f t="shared" si="1"/>
        <v>-4.5937955556659551</v>
      </c>
    </row>
    <row r="22" spans="1:7" x14ac:dyDescent="0.25">
      <c r="A22" s="3">
        <v>22</v>
      </c>
      <c r="B22" s="3">
        <f t="shared" si="0"/>
        <v>-2.4594167073307527</v>
      </c>
      <c r="C22" s="3">
        <v>1</v>
      </c>
      <c r="D22" s="3">
        <v>0</v>
      </c>
      <c r="E22" s="3">
        <f t="shared" si="2"/>
        <v>8.5484799084525331E-2</v>
      </c>
      <c r="F22" s="3">
        <f>EXP([1]Baseline!P22)</f>
        <v>0.26354030116427546</v>
      </c>
      <c r="G22" s="3">
        <f t="shared" si="1"/>
        <v>-4.9188334146615054</v>
      </c>
    </row>
    <row r="23" spans="1:7" x14ac:dyDescent="0.25">
      <c r="A23" s="3">
        <v>23</v>
      </c>
      <c r="B23" s="3">
        <f t="shared" si="0"/>
        <v>-2.6219356368285274</v>
      </c>
      <c r="C23" s="3">
        <v>1</v>
      </c>
      <c r="D23" s="3">
        <v>0</v>
      </c>
      <c r="E23" s="3">
        <f t="shared" si="2"/>
        <v>7.2662079221846532E-2</v>
      </c>
      <c r="F23" s="3">
        <f>EXP([1]Baseline!P23)</f>
        <v>0.25</v>
      </c>
      <c r="G23" s="3">
        <f t="shared" si="1"/>
        <v>-5.2438712736570547</v>
      </c>
    </row>
    <row r="24" spans="1:7" x14ac:dyDescent="0.25">
      <c r="A24" s="3">
        <v>24</v>
      </c>
      <c r="B24" s="3">
        <f t="shared" si="0"/>
        <v>-2.7844545663263025</v>
      </c>
      <c r="C24" s="3">
        <v>1</v>
      </c>
      <c r="D24" s="3">
        <v>0</v>
      </c>
      <c r="E24" s="3">
        <f t="shared" si="2"/>
        <v>6.1762767338569551E-2</v>
      </c>
      <c r="F24" s="3">
        <f>EXP([1]Baseline!P24)</f>
        <v>0.25</v>
      </c>
      <c r="G24" s="3">
        <f t="shared" si="1"/>
        <v>-5.568909132652605</v>
      </c>
    </row>
    <row r="25" spans="1:7" x14ac:dyDescent="0.25">
      <c r="A25" s="3">
        <v>25</v>
      </c>
      <c r="B25" s="3">
        <f t="shared" si="0"/>
        <v>-2.9469734958240772</v>
      </c>
      <c r="C25" s="3">
        <v>1</v>
      </c>
      <c r="D25" s="3">
        <v>0</v>
      </c>
      <c r="E25" s="3">
        <f t="shared" si="2"/>
        <v>5.2498352237784117E-2</v>
      </c>
      <c r="F25" s="3">
        <f>EXP([1]Baseline!P25)</f>
        <v>0.25</v>
      </c>
      <c r="G25" s="3">
        <f t="shared" si="1"/>
        <v>-5.8939469916481544</v>
      </c>
    </row>
    <row r="26" spans="1:7" x14ac:dyDescent="0.25">
      <c r="A26" s="3">
        <v>26</v>
      </c>
      <c r="B26" s="3">
        <f t="shared" si="0"/>
        <v>-2.9957322735539909</v>
      </c>
      <c r="C26" s="3">
        <v>1</v>
      </c>
      <c r="D26" s="3">
        <v>0</v>
      </c>
      <c r="E26" s="3">
        <f t="shared" si="2"/>
        <v>0.05</v>
      </c>
      <c r="F26" s="3">
        <f>EXP([1]Baseline!P26)</f>
        <v>0.25</v>
      </c>
      <c r="G26" s="3">
        <f t="shared" si="1"/>
        <v>-5.9914645471079817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FAA7-9B94-42F7-A736-842C85A4A681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10</v>
      </c>
      <c r="C1" s="2" t="s">
        <v>1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4420-362D-41EF-8A11-D4533FC96FC9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11</v>
      </c>
      <c r="C1" s="2" t="s">
        <v>1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AE02-6E7A-44B9-B05D-B82DF01E50EF}">
  <dimension ref="A1:D26"/>
  <sheetViews>
    <sheetView workbookViewId="0">
      <selection activeCell="D1" sqref="D1:D1048576"/>
    </sheetView>
  </sheetViews>
  <sheetFormatPr defaultRowHeight="15" x14ac:dyDescent="0.25"/>
  <cols>
    <col min="4" max="4" width="15.7109375" bestFit="1" customWidth="1"/>
  </cols>
  <sheetData>
    <row r="1" spans="1:4" x14ac:dyDescent="0.25">
      <c r="A1" s="1" t="s">
        <v>2</v>
      </c>
      <c r="B1" s="2" t="s">
        <v>11</v>
      </c>
      <c r="C1" s="2" t="s">
        <v>10</v>
      </c>
      <c r="D1" s="2" t="s">
        <v>1</v>
      </c>
    </row>
    <row r="2" spans="1:4" x14ac:dyDescent="0.25">
      <c r="A2" s="3">
        <f>[1]Baseline!A2</f>
        <v>2</v>
      </c>
      <c r="B2">
        <v>0</v>
      </c>
      <c r="C2">
        <v>0</v>
      </c>
      <c r="D2" s="3">
        <v>1</v>
      </c>
    </row>
    <row r="3" spans="1:4" x14ac:dyDescent="0.25">
      <c r="A3" s="3">
        <f>[1]Baseline!A3</f>
        <v>3</v>
      </c>
      <c r="B3">
        <v>0</v>
      </c>
      <c r="C3">
        <v>0</v>
      </c>
      <c r="D3" s="3">
        <v>1</v>
      </c>
    </row>
    <row r="4" spans="1:4" x14ac:dyDescent="0.25">
      <c r="A4" s="3">
        <f>[1]Baseline!A4</f>
        <v>4</v>
      </c>
      <c r="B4">
        <v>0</v>
      </c>
      <c r="C4">
        <v>0</v>
      </c>
      <c r="D4" s="3">
        <v>1</v>
      </c>
    </row>
    <row r="5" spans="1:4" x14ac:dyDescent="0.25">
      <c r="A5" s="3">
        <f>[1]Baseline!A5</f>
        <v>5</v>
      </c>
      <c r="B5">
        <v>0</v>
      </c>
      <c r="C5">
        <v>0</v>
      </c>
      <c r="D5" s="3">
        <v>1</v>
      </c>
    </row>
    <row r="6" spans="1:4" x14ac:dyDescent="0.25">
      <c r="A6" s="3">
        <f>[1]Baseline!A6</f>
        <v>6</v>
      </c>
      <c r="B6">
        <v>0</v>
      </c>
      <c r="C6">
        <v>0</v>
      </c>
      <c r="D6" s="3">
        <v>1</v>
      </c>
    </row>
    <row r="7" spans="1:4" x14ac:dyDescent="0.25">
      <c r="A7" s="3">
        <f>[1]Baseline!A7</f>
        <v>7</v>
      </c>
      <c r="B7">
        <v>0</v>
      </c>
      <c r="C7">
        <v>0</v>
      </c>
      <c r="D7" s="3">
        <v>1</v>
      </c>
    </row>
    <row r="8" spans="1:4" x14ac:dyDescent="0.25">
      <c r="A8" s="3">
        <f>[1]Baseline!A8</f>
        <v>8</v>
      </c>
      <c r="B8">
        <v>0</v>
      </c>
      <c r="C8">
        <v>0</v>
      </c>
      <c r="D8" s="3">
        <v>1</v>
      </c>
    </row>
    <row r="9" spans="1:4" x14ac:dyDescent="0.25">
      <c r="A9" s="3">
        <f>[1]Baseline!A9</f>
        <v>9</v>
      </c>
      <c r="B9">
        <v>0</v>
      </c>
      <c r="C9">
        <v>0</v>
      </c>
      <c r="D9" s="3">
        <v>1</v>
      </c>
    </row>
    <row r="10" spans="1:4" x14ac:dyDescent="0.25">
      <c r="A10" s="3">
        <f>[1]Baseline!A10</f>
        <v>10</v>
      </c>
      <c r="B10">
        <v>0</v>
      </c>
      <c r="C10">
        <v>0</v>
      </c>
      <c r="D10" s="3">
        <v>1</v>
      </c>
    </row>
    <row r="11" spans="1:4" x14ac:dyDescent="0.25">
      <c r="A11" s="3">
        <f>[1]Baseline!A11</f>
        <v>11</v>
      </c>
      <c r="B11">
        <v>0</v>
      </c>
      <c r="C11">
        <v>0</v>
      </c>
      <c r="D11" s="3">
        <v>1</v>
      </c>
    </row>
    <row r="12" spans="1:4" x14ac:dyDescent="0.25">
      <c r="A12" s="3">
        <f>[1]Baseline!A12</f>
        <v>12</v>
      </c>
      <c r="B12">
        <v>0</v>
      </c>
      <c r="C12">
        <v>0</v>
      </c>
      <c r="D12" s="3">
        <v>1</v>
      </c>
    </row>
    <row r="13" spans="1:4" x14ac:dyDescent="0.25">
      <c r="A13" s="3">
        <f>[1]Baseline!A13</f>
        <v>13</v>
      </c>
      <c r="B13">
        <v>0</v>
      </c>
      <c r="C13">
        <v>0</v>
      </c>
      <c r="D13" s="3">
        <v>1</v>
      </c>
    </row>
    <row r="14" spans="1:4" x14ac:dyDescent="0.25">
      <c r="A14" s="3">
        <f>[1]Baseline!A14</f>
        <v>14</v>
      </c>
      <c r="B14">
        <v>0</v>
      </c>
      <c r="C14">
        <v>0</v>
      </c>
      <c r="D14" s="3">
        <v>1</v>
      </c>
    </row>
    <row r="15" spans="1:4" x14ac:dyDescent="0.25">
      <c r="A15" s="3">
        <f>[1]Baseline!A15</f>
        <v>15</v>
      </c>
      <c r="B15">
        <v>0</v>
      </c>
      <c r="C15">
        <v>0</v>
      </c>
      <c r="D15" s="3">
        <v>1</v>
      </c>
    </row>
    <row r="16" spans="1:4" x14ac:dyDescent="0.25">
      <c r="A16" s="3">
        <f>[1]Baseline!A16</f>
        <v>16</v>
      </c>
      <c r="B16">
        <v>0</v>
      </c>
      <c r="C16">
        <v>0</v>
      </c>
      <c r="D16" s="3">
        <v>1</v>
      </c>
    </row>
    <row r="17" spans="1:4" x14ac:dyDescent="0.25">
      <c r="A17" s="3">
        <f>[1]Baseline!A17</f>
        <v>17</v>
      </c>
      <c r="B17">
        <v>0</v>
      </c>
      <c r="C17">
        <v>0</v>
      </c>
      <c r="D17" s="3">
        <v>1</v>
      </c>
    </row>
    <row r="18" spans="1:4" x14ac:dyDescent="0.25">
      <c r="A18" s="3">
        <f>[1]Baseline!A18</f>
        <v>18</v>
      </c>
      <c r="B18">
        <v>0</v>
      </c>
      <c r="C18">
        <v>0</v>
      </c>
      <c r="D18" s="3">
        <v>1</v>
      </c>
    </row>
    <row r="19" spans="1:4" x14ac:dyDescent="0.25">
      <c r="A19" s="3">
        <f>[1]Baseline!A19</f>
        <v>19</v>
      </c>
      <c r="B19">
        <v>0</v>
      </c>
      <c r="C19">
        <v>0</v>
      </c>
      <c r="D19" s="3">
        <v>1</v>
      </c>
    </row>
    <row r="20" spans="1:4" x14ac:dyDescent="0.25">
      <c r="A20" s="3">
        <f>[1]Baseline!A20</f>
        <v>20</v>
      </c>
      <c r="B20">
        <v>0</v>
      </c>
      <c r="C20">
        <v>0</v>
      </c>
      <c r="D20" s="3">
        <v>1</v>
      </c>
    </row>
    <row r="21" spans="1:4" x14ac:dyDescent="0.25">
      <c r="A21" s="3">
        <f>[1]Baseline!A21</f>
        <v>21</v>
      </c>
      <c r="B21">
        <v>0</v>
      </c>
      <c r="C21">
        <v>0</v>
      </c>
      <c r="D21" s="3">
        <v>1</v>
      </c>
    </row>
    <row r="22" spans="1:4" x14ac:dyDescent="0.25">
      <c r="A22" s="3">
        <f>[1]Baseline!A22</f>
        <v>22</v>
      </c>
      <c r="B22">
        <v>0</v>
      </c>
      <c r="C22">
        <v>0</v>
      </c>
      <c r="D22" s="3">
        <v>1</v>
      </c>
    </row>
    <row r="23" spans="1:4" x14ac:dyDescent="0.25">
      <c r="A23" s="3">
        <f>[1]Baseline!A23</f>
        <v>23</v>
      </c>
      <c r="B23">
        <v>0</v>
      </c>
      <c r="C23">
        <v>0</v>
      </c>
      <c r="D23" s="3">
        <v>1</v>
      </c>
    </row>
    <row r="24" spans="1:4" x14ac:dyDescent="0.25">
      <c r="A24" s="3">
        <f>[1]Baseline!A24</f>
        <v>24</v>
      </c>
      <c r="B24">
        <v>0</v>
      </c>
      <c r="C24">
        <v>0</v>
      </c>
      <c r="D24" s="3">
        <v>1</v>
      </c>
    </row>
    <row r="25" spans="1:4" x14ac:dyDescent="0.25">
      <c r="A25" s="3">
        <f>A24+1</f>
        <v>25</v>
      </c>
      <c r="B25">
        <v>0</v>
      </c>
      <c r="C25">
        <v>0</v>
      </c>
      <c r="D25" s="3">
        <v>1</v>
      </c>
    </row>
    <row r="26" spans="1:4" x14ac:dyDescent="0.25">
      <c r="A26" s="3">
        <f>A25+1</f>
        <v>26</v>
      </c>
      <c r="B26">
        <v>0</v>
      </c>
      <c r="C26">
        <v>0</v>
      </c>
      <c r="D26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80D8-97BB-4F17-87E9-1106ABBCA317}">
  <dimension ref="A1:C26"/>
  <sheetViews>
    <sheetView workbookViewId="0">
      <selection activeCell="B1" sqref="B1:B2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6</v>
      </c>
      <c r="C1" s="2" t="s">
        <v>1</v>
      </c>
    </row>
    <row r="2" spans="1:3" x14ac:dyDescent="0.25">
      <c r="A2" s="3">
        <f>[1]Baseline!A2</f>
        <v>2</v>
      </c>
      <c r="B2" s="3">
        <v>1</v>
      </c>
      <c r="C2" s="3">
        <v>1</v>
      </c>
    </row>
    <row r="3" spans="1:3" x14ac:dyDescent="0.25">
      <c r="A3" s="3">
        <f>[1]Baseline!A3</f>
        <v>3</v>
      </c>
      <c r="B3" s="3">
        <v>1</v>
      </c>
      <c r="C3" s="3">
        <v>1</v>
      </c>
    </row>
    <row r="4" spans="1:3" x14ac:dyDescent="0.25">
      <c r="A4" s="3">
        <f>[1]Baseline!A4</f>
        <v>4</v>
      </c>
      <c r="B4" s="3">
        <v>1</v>
      </c>
      <c r="C4" s="3">
        <v>1</v>
      </c>
    </row>
    <row r="5" spans="1:3" x14ac:dyDescent="0.25">
      <c r="A5" s="3">
        <f>[1]Baseline!A5</f>
        <v>5</v>
      </c>
      <c r="B5" s="3">
        <v>1</v>
      </c>
      <c r="C5" s="3">
        <v>1</v>
      </c>
    </row>
    <row r="6" spans="1:3" x14ac:dyDescent="0.25">
      <c r="A6" s="3">
        <f>[1]Baseline!A6</f>
        <v>6</v>
      </c>
      <c r="B6" s="3">
        <v>1</v>
      </c>
      <c r="C6" s="3">
        <v>1</v>
      </c>
    </row>
    <row r="7" spans="1:3" x14ac:dyDescent="0.25">
      <c r="A7" s="3">
        <f>[1]Baseline!A7</f>
        <v>7</v>
      </c>
      <c r="B7" s="3">
        <v>1</v>
      </c>
      <c r="C7" s="3">
        <v>1</v>
      </c>
    </row>
    <row r="8" spans="1:3" x14ac:dyDescent="0.25">
      <c r="A8" s="3">
        <f>[1]Baseline!A8</f>
        <v>8</v>
      </c>
      <c r="B8" s="3">
        <v>1</v>
      </c>
      <c r="C8" s="3">
        <v>1</v>
      </c>
    </row>
    <row r="9" spans="1:3" x14ac:dyDescent="0.25">
      <c r="A9" s="3">
        <f>[1]Baseline!A9</f>
        <v>9</v>
      </c>
      <c r="B9" s="3">
        <v>1</v>
      </c>
      <c r="C9" s="3">
        <v>1</v>
      </c>
    </row>
    <row r="10" spans="1:3" x14ac:dyDescent="0.25">
      <c r="A10" s="3">
        <f>[1]Baseline!A10</f>
        <v>10</v>
      </c>
      <c r="B10" s="3">
        <v>1</v>
      </c>
      <c r="C10" s="3">
        <v>1</v>
      </c>
    </row>
    <row r="11" spans="1:3" x14ac:dyDescent="0.25">
      <c r="A11" s="3">
        <f>[1]Baseline!A11</f>
        <v>11</v>
      </c>
      <c r="B11" s="3">
        <v>1</v>
      </c>
      <c r="C11" s="3">
        <v>1</v>
      </c>
    </row>
    <row r="12" spans="1:3" x14ac:dyDescent="0.25">
      <c r="A12" s="3">
        <f>[1]Baseline!A12</f>
        <v>12</v>
      </c>
      <c r="B12" s="3">
        <v>1</v>
      </c>
      <c r="C12" s="3">
        <v>1</v>
      </c>
    </row>
    <row r="13" spans="1:3" x14ac:dyDescent="0.25">
      <c r="A13" s="3">
        <f>[1]Baseline!A13</f>
        <v>13</v>
      </c>
      <c r="B13" s="3">
        <v>1</v>
      </c>
      <c r="C13" s="3">
        <v>1</v>
      </c>
    </row>
    <row r="14" spans="1:3" x14ac:dyDescent="0.25">
      <c r="A14" s="3">
        <f>[1]Baseline!A14</f>
        <v>14</v>
      </c>
      <c r="B14" s="3">
        <v>1</v>
      </c>
      <c r="C14" s="3">
        <v>1</v>
      </c>
    </row>
    <row r="15" spans="1:3" x14ac:dyDescent="0.25">
      <c r="A15" s="3">
        <f>[1]Baseline!A15</f>
        <v>15</v>
      </c>
      <c r="B15" s="3">
        <v>1</v>
      </c>
      <c r="C15" s="3">
        <v>1</v>
      </c>
    </row>
    <row r="16" spans="1:3" x14ac:dyDescent="0.25">
      <c r="A16" s="3">
        <f>[1]Baseline!A16</f>
        <v>16</v>
      </c>
      <c r="B16" s="3">
        <v>1</v>
      </c>
      <c r="C16" s="3">
        <v>1</v>
      </c>
    </row>
    <row r="17" spans="1:3" x14ac:dyDescent="0.25">
      <c r="A17" s="3">
        <f>[1]Baseline!A17</f>
        <v>17</v>
      </c>
      <c r="B17" s="3">
        <v>1</v>
      </c>
      <c r="C17" s="3">
        <v>1</v>
      </c>
    </row>
    <row r="18" spans="1:3" x14ac:dyDescent="0.25">
      <c r="A18" s="3">
        <f>[1]Baseline!A18</f>
        <v>18</v>
      </c>
      <c r="B18" s="3">
        <v>1</v>
      </c>
      <c r="C18" s="3">
        <v>1</v>
      </c>
    </row>
    <row r="19" spans="1:3" x14ac:dyDescent="0.25">
      <c r="A19" s="3">
        <f>[1]Baseline!A19</f>
        <v>19</v>
      </c>
      <c r="B19" s="3">
        <v>1</v>
      </c>
      <c r="C19" s="3">
        <v>1</v>
      </c>
    </row>
    <row r="20" spans="1:3" x14ac:dyDescent="0.25">
      <c r="A20" s="3">
        <f>[1]Baseline!A20</f>
        <v>20</v>
      </c>
      <c r="B20" s="3">
        <v>1</v>
      </c>
      <c r="C20" s="3">
        <v>1</v>
      </c>
    </row>
    <row r="21" spans="1:3" x14ac:dyDescent="0.25">
      <c r="A21" s="3">
        <f>[1]Baseline!A21</f>
        <v>21</v>
      </c>
      <c r="B21" s="3">
        <v>1</v>
      </c>
      <c r="C21" s="3">
        <v>1</v>
      </c>
    </row>
    <row r="22" spans="1:3" x14ac:dyDescent="0.25">
      <c r="A22" s="3">
        <f>[1]Baseline!A22</f>
        <v>22</v>
      </c>
      <c r="B22" s="3">
        <v>1</v>
      </c>
      <c r="C22" s="3">
        <v>1</v>
      </c>
    </row>
    <row r="23" spans="1:3" x14ac:dyDescent="0.25">
      <c r="A23" s="3">
        <f>[1]Baseline!A23</f>
        <v>23</v>
      </c>
      <c r="B23" s="3">
        <v>1</v>
      </c>
      <c r="C23" s="3">
        <v>1</v>
      </c>
    </row>
    <row r="24" spans="1:3" x14ac:dyDescent="0.25">
      <c r="A24" s="3">
        <f>[1]Baseline!A24</f>
        <v>24</v>
      </c>
      <c r="B24" s="3">
        <v>1</v>
      </c>
      <c r="C24" s="3">
        <v>1</v>
      </c>
    </row>
    <row r="25" spans="1:3" x14ac:dyDescent="0.25">
      <c r="A25" s="3">
        <f>A24+1</f>
        <v>25</v>
      </c>
      <c r="B25" s="3">
        <v>1</v>
      </c>
      <c r="C25" s="3">
        <v>1</v>
      </c>
    </row>
    <row r="26" spans="1:3" x14ac:dyDescent="0.25">
      <c r="A26" s="3">
        <f>A25+1</f>
        <v>26</v>
      </c>
      <c r="B26" s="3">
        <v>1</v>
      </c>
      <c r="C26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D9CE-94BA-4B1F-A5E0-1931C5876395}">
  <dimension ref="A1:D27"/>
  <sheetViews>
    <sheetView workbookViewId="0">
      <selection activeCell="O7" sqref="O7"/>
    </sheetView>
  </sheetViews>
  <sheetFormatPr defaultRowHeight="15" x14ac:dyDescent="0.25"/>
  <cols>
    <col min="1" max="1" width="3.140625" customWidth="1"/>
    <col min="2" max="2" width="16.85546875" bestFit="1" customWidth="1"/>
    <col min="3" max="3" width="13.42578125" customWidth="1"/>
  </cols>
  <sheetData>
    <row r="1" spans="1:4" x14ac:dyDescent="0.25">
      <c r="A1" t="s">
        <v>4</v>
      </c>
      <c r="B1" t="s">
        <v>12</v>
      </c>
      <c r="C1" t="s">
        <v>13</v>
      </c>
      <c r="D1" t="s">
        <v>1</v>
      </c>
    </row>
    <row r="2" spans="1:4" x14ac:dyDescent="0.25">
      <c r="A2">
        <v>2</v>
      </c>
      <c r="B2">
        <v>0</v>
      </c>
      <c r="C2">
        <v>0</v>
      </c>
      <c r="D2" s="3">
        <v>1</v>
      </c>
    </row>
    <row r="3" spans="1:4" x14ac:dyDescent="0.25">
      <c r="A3">
        <v>3</v>
      </c>
      <c r="B3">
        <v>0</v>
      </c>
      <c r="C3">
        <v>0</v>
      </c>
      <c r="D3" s="3">
        <v>1</v>
      </c>
    </row>
    <row r="4" spans="1:4" x14ac:dyDescent="0.25">
      <c r="A4">
        <v>4</v>
      </c>
      <c r="B4">
        <v>0</v>
      </c>
      <c r="C4">
        <v>0</v>
      </c>
      <c r="D4" s="3">
        <v>1</v>
      </c>
    </row>
    <row r="5" spans="1:4" x14ac:dyDescent="0.25">
      <c r="A5">
        <v>5</v>
      </c>
      <c r="B5">
        <v>1</v>
      </c>
      <c r="C5">
        <v>-0.5</v>
      </c>
      <c r="D5" s="3">
        <v>1</v>
      </c>
    </row>
    <row r="6" spans="1:4" x14ac:dyDescent="0.25">
      <c r="A6">
        <v>6</v>
      </c>
      <c r="B6">
        <v>0</v>
      </c>
      <c r="C6">
        <v>0</v>
      </c>
      <c r="D6" s="3">
        <v>1</v>
      </c>
    </row>
    <row r="7" spans="1:4" x14ac:dyDescent="0.25">
      <c r="A7">
        <v>7</v>
      </c>
      <c r="B7">
        <v>0</v>
      </c>
      <c r="C7">
        <v>0</v>
      </c>
      <c r="D7" s="3">
        <v>1</v>
      </c>
    </row>
    <row r="8" spans="1:4" x14ac:dyDescent="0.25">
      <c r="A8">
        <v>8</v>
      </c>
      <c r="B8">
        <v>0</v>
      </c>
      <c r="C8">
        <v>0</v>
      </c>
      <c r="D8" s="3">
        <v>1</v>
      </c>
    </row>
    <row r="9" spans="1:4" x14ac:dyDescent="0.25">
      <c r="A9">
        <v>9</v>
      </c>
      <c r="B9">
        <v>0</v>
      </c>
      <c r="C9">
        <v>0</v>
      </c>
      <c r="D9" s="3">
        <v>1</v>
      </c>
    </row>
    <row r="10" spans="1:4" x14ac:dyDescent="0.25">
      <c r="A10">
        <v>10</v>
      </c>
      <c r="B10">
        <v>0</v>
      </c>
      <c r="C10">
        <v>0</v>
      </c>
      <c r="D10" s="3">
        <v>1</v>
      </c>
    </row>
    <row r="11" spans="1:4" x14ac:dyDescent="0.25">
      <c r="A11">
        <v>11</v>
      </c>
      <c r="B11">
        <v>0</v>
      </c>
      <c r="C11">
        <v>0</v>
      </c>
      <c r="D11" s="3">
        <v>1</v>
      </c>
    </row>
    <row r="12" spans="1:4" x14ac:dyDescent="0.25">
      <c r="A12">
        <v>12</v>
      </c>
      <c r="B12">
        <v>0</v>
      </c>
      <c r="C12">
        <v>0</v>
      </c>
      <c r="D12" s="3">
        <v>1</v>
      </c>
    </row>
    <row r="13" spans="1:4" x14ac:dyDescent="0.25">
      <c r="A13">
        <v>13</v>
      </c>
      <c r="B13">
        <v>0</v>
      </c>
      <c r="C13">
        <v>0</v>
      </c>
      <c r="D13" s="3">
        <v>1</v>
      </c>
    </row>
    <row r="14" spans="1:4" x14ac:dyDescent="0.25">
      <c r="A14">
        <v>14</v>
      </c>
      <c r="B14">
        <v>0</v>
      </c>
      <c r="C14">
        <v>0</v>
      </c>
      <c r="D14" s="3">
        <v>1</v>
      </c>
    </row>
    <row r="15" spans="1:4" x14ac:dyDescent="0.25">
      <c r="A15">
        <v>15</v>
      </c>
      <c r="B15">
        <v>0</v>
      </c>
      <c r="C15">
        <v>0</v>
      </c>
      <c r="D15" s="3">
        <v>1</v>
      </c>
    </row>
    <row r="16" spans="1:4" x14ac:dyDescent="0.25">
      <c r="A16">
        <v>16</v>
      </c>
      <c r="B16">
        <v>0</v>
      </c>
      <c r="C16">
        <v>0</v>
      </c>
      <c r="D16" s="3">
        <v>1</v>
      </c>
    </row>
    <row r="17" spans="1:4" x14ac:dyDescent="0.25">
      <c r="A17">
        <v>17</v>
      </c>
      <c r="B17">
        <v>0</v>
      </c>
      <c r="C17">
        <v>0</v>
      </c>
      <c r="D17" s="3">
        <v>1</v>
      </c>
    </row>
    <row r="18" spans="1:4" x14ac:dyDescent="0.25">
      <c r="A18">
        <v>18</v>
      </c>
      <c r="B18">
        <v>0</v>
      </c>
      <c r="C18">
        <v>0</v>
      </c>
      <c r="D18" s="3">
        <v>1</v>
      </c>
    </row>
    <row r="19" spans="1:4" x14ac:dyDescent="0.25">
      <c r="A19">
        <v>19</v>
      </c>
      <c r="B19">
        <v>0</v>
      </c>
      <c r="C19">
        <v>0</v>
      </c>
      <c r="D19" s="3">
        <v>1</v>
      </c>
    </row>
    <row r="20" spans="1:4" x14ac:dyDescent="0.25">
      <c r="A20">
        <v>20</v>
      </c>
      <c r="B20">
        <v>0</v>
      </c>
      <c r="C20">
        <v>0</v>
      </c>
      <c r="D20" s="3">
        <v>1</v>
      </c>
    </row>
    <row r="21" spans="1:4" x14ac:dyDescent="0.25">
      <c r="A21">
        <v>21</v>
      </c>
      <c r="B21">
        <v>0</v>
      </c>
      <c r="C21">
        <v>0</v>
      </c>
      <c r="D21" s="3">
        <v>1</v>
      </c>
    </row>
    <row r="22" spans="1:4" x14ac:dyDescent="0.25">
      <c r="A22">
        <v>22</v>
      </c>
      <c r="B22">
        <v>0</v>
      </c>
      <c r="C22">
        <v>0</v>
      </c>
      <c r="D22" s="3">
        <v>1</v>
      </c>
    </row>
    <row r="23" spans="1:4" x14ac:dyDescent="0.25">
      <c r="A23">
        <v>23</v>
      </c>
      <c r="B23">
        <v>0</v>
      </c>
      <c r="C23">
        <v>0</v>
      </c>
      <c r="D23" s="3">
        <v>1</v>
      </c>
    </row>
    <row r="24" spans="1:4" x14ac:dyDescent="0.25">
      <c r="A24">
        <v>24</v>
      </c>
      <c r="B24">
        <v>0</v>
      </c>
      <c r="C24">
        <v>0</v>
      </c>
      <c r="D24" s="3">
        <v>1</v>
      </c>
    </row>
    <row r="25" spans="1:4" x14ac:dyDescent="0.25">
      <c r="A25">
        <v>25</v>
      </c>
      <c r="B25">
        <v>0</v>
      </c>
      <c r="C25">
        <v>0</v>
      </c>
      <c r="D25" s="3">
        <v>1</v>
      </c>
    </row>
    <row r="26" spans="1:4" x14ac:dyDescent="0.25">
      <c r="A26">
        <v>26</v>
      </c>
      <c r="B26">
        <v>0</v>
      </c>
      <c r="C26">
        <v>0</v>
      </c>
      <c r="D26" s="3">
        <v>1</v>
      </c>
    </row>
    <row r="27" spans="1:4" x14ac:dyDescent="0.25">
      <c r="A27">
        <v>27</v>
      </c>
      <c r="B27">
        <v>0</v>
      </c>
      <c r="C27">
        <v>0</v>
      </c>
      <c r="D27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3A7B-7F90-4A63-98DD-C55310C90BCB}">
  <dimension ref="A1:H28"/>
  <sheetViews>
    <sheetView topLeftCell="A13" zoomScale="205" zoomScaleNormal="205" workbookViewId="0">
      <selection activeCell="G1" sqref="B1:G28"/>
    </sheetView>
  </sheetViews>
  <sheetFormatPr defaultRowHeight="15" x14ac:dyDescent="0.25"/>
  <cols>
    <col min="1" max="1" width="3.140625" customWidth="1"/>
    <col min="2" max="3" width="14.42578125" customWidth="1"/>
    <col min="4" max="4" width="16.85546875" bestFit="1" customWidth="1"/>
    <col min="5" max="5" width="17.28515625" bestFit="1" customWidth="1"/>
    <col min="6" max="6" width="18" bestFit="1" customWidth="1"/>
    <col min="7" max="7" width="18.28515625" bestFit="1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-1.6677835051546505E-2</v>
      </c>
      <c r="C2">
        <v>-1.7356406480117936E-2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-1.6677835051546505E-2</v>
      </c>
      <c r="C3">
        <v>-1.7356406480117936E-2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-1.6677835051546505E-2</v>
      </c>
      <c r="C4">
        <v>-1.7356406480117936E-2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-1.6677835051546505E-2</v>
      </c>
      <c r="C5">
        <v>-1.7356406480117936E-2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-1.6677835051546505E-2</v>
      </c>
      <c r="C6">
        <v>-1.7356406480117936E-2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-1.6677835051546505E-2</v>
      </c>
      <c r="C7">
        <v>-1.7356406480117936E-2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-1.6677835051546505E-2</v>
      </c>
      <c r="C8">
        <v>-1.7356406480117936E-2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-1.6677835051546505E-2</v>
      </c>
      <c r="C9">
        <v>-1.7356406480117936E-2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-1.6677835051546505E-2</v>
      </c>
      <c r="C10">
        <v>-1.7356406480117936E-2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-1.6677835051546505E-2</v>
      </c>
      <c r="C11">
        <v>-1.7356406480117936E-2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-1.6677835051546505E-2</v>
      </c>
      <c r="C12">
        <v>-1.7356406480117936E-2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-1.6677835051546505E-2</v>
      </c>
      <c r="C13">
        <v>-1.7356406480117936E-2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-1.6677835051546505E-2</v>
      </c>
      <c r="C14">
        <v>-1.7356406480117936E-2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-1.6677835051546505E-2</v>
      </c>
      <c r="C15">
        <v>-1.7356406480117936E-2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-1.6677835051546505E-2</v>
      </c>
      <c r="C16">
        <v>-1.7356406480117936E-2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-1.6677835051546505E-2</v>
      </c>
      <c r="C17">
        <v>-1.7356406480117936E-2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-1.6677835051546505E-2</v>
      </c>
      <c r="C18">
        <v>-1.7356406480117936E-2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-1.6677835051546505E-2</v>
      </c>
      <c r="C19">
        <v>-1.7356406480117936E-2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-1.6677835051546505E-2</v>
      </c>
      <c r="C20">
        <v>-1.7356406480117936E-2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-1.6677835051546505E-2</v>
      </c>
      <c r="C21">
        <v>-1.7356406480117936E-2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-1.6677835051546505E-2</v>
      </c>
      <c r="C22">
        <v>-1.7356406480117936E-2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-1.6677835051546505E-2</v>
      </c>
      <c r="C23">
        <v>-1.7356406480117936E-2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-1.6677835051546505E-2</v>
      </c>
      <c r="C24">
        <v>-1.7356406480117936E-2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-1.6677835051546505E-2</v>
      </c>
      <c r="C25">
        <v>-1.7356406480117936E-2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-1.6677835051546505E-2</v>
      </c>
      <c r="C26">
        <v>-1.7356406480117936E-2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-1.6677835051546505E-2</v>
      </c>
      <c r="C27">
        <v>-1.7356406480117936E-2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-1.6677835051546505E-2</v>
      </c>
      <c r="C28">
        <v>-1.7356406480117936E-2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DF8E-4DEF-474D-B752-5985D2E5A6D1}">
  <dimension ref="A1:H28"/>
  <sheetViews>
    <sheetView workbookViewId="0">
      <selection activeCell="F28" sqref="F28"/>
    </sheetView>
  </sheetViews>
  <sheetFormatPr defaultRowHeight="15" x14ac:dyDescent="0.25"/>
  <cols>
    <col min="1" max="1" width="3.140625" customWidth="1"/>
    <col min="2" max="2" width="15.42578125" customWidth="1"/>
    <col min="3" max="3" width="14.42578125" customWidth="1"/>
    <col min="4" max="4" width="2.140625" customWidth="1"/>
    <col min="5" max="5" width="5.7109375" customWidth="1"/>
    <col min="6" max="6" width="2.140625" customWidth="1"/>
    <col min="7" max="7" width="5.7109375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-7.2578350515464934E-3</v>
      </c>
      <c r="C2">
        <v>-1.1895576987030365E-2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-7.2578350515464934E-3</v>
      </c>
      <c r="C3">
        <v>-1.1895576987030365E-2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-7.2578350515464934E-3</v>
      </c>
      <c r="C4">
        <v>-1.1895576987030365E-2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-7.2578350515464934E-3</v>
      </c>
      <c r="C5">
        <v>-1.1895576987030365E-2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-7.2578350515464934E-3</v>
      </c>
      <c r="C6">
        <v>-1.1895576987030365E-2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-7.2578350515464934E-3</v>
      </c>
      <c r="C7">
        <v>-1.1895576987030365E-2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-7.2578350515464934E-3</v>
      </c>
      <c r="C8">
        <v>-1.1895576987030365E-2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-7.2578350515464934E-3</v>
      </c>
      <c r="C9">
        <v>-1.1895576987030365E-2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-7.2578350515464934E-3</v>
      </c>
      <c r="C10">
        <v>-1.1895576987030365E-2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-7.2578350515464934E-3</v>
      </c>
      <c r="C11">
        <v>-1.1895576987030365E-2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-7.2578350515464934E-3</v>
      </c>
      <c r="C12">
        <v>-1.1895576987030365E-2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-7.2578350515464934E-3</v>
      </c>
      <c r="C13">
        <v>-1.1895576987030365E-2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-7.2578350515464934E-3</v>
      </c>
      <c r="C14">
        <v>-1.1895576987030365E-2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-7.2578350515464934E-3</v>
      </c>
      <c r="C15">
        <v>-1.1895576987030365E-2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-7.2578350515464934E-3</v>
      </c>
      <c r="C16">
        <v>-1.1895576987030365E-2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-7.2578350515464934E-3</v>
      </c>
      <c r="C17">
        <v>-1.1895576987030365E-2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-7.2578350515464934E-3</v>
      </c>
      <c r="C18">
        <v>-1.1895576987030365E-2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-7.2578350515464934E-3</v>
      </c>
      <c r="C19">
        <v>-1.1895576987030365E-2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-7.2578350515464934E-3</v>
      </c>
      <c r="C20">
        <v>-1.1895576987030365E-2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-7.2578350515464934E-3</v>
      </c>
      <c r="C21">
        <v>-1.1895576987030365E-2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-7.2578350515464934E-3</v>
      </c>
      <c r="C22">
        <v>-1.1895576987030365E-2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-7.2578350515464934E-3</v>
      </c>
      <c r="C23">
        <v>-1.1895576987030365E-2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-7.2578350515464934E-3</v>
      </c>
      <c r="C24">
        <v>-1.1895576987030365E-2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-7.2578350515464934E-3</v>
      </c>
      <c r="C25">
        <v>-1.1895576987030365E-2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-7.2578350515464934E-3</v>
      </c>
      <c r="C26">
        <v>-1.1895576987030365E-2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-7.2578350515464934E-3</v>
      </c>
      <c r="C27">
        <v>-1.1895576987030365E-2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-7.2578350515464934E-3</v>
      </c>
      <c r="C28">
        <v>-1.1895576987030365E-2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3AE3-301B-41EE-8C2A-B5BD97E7F8DA}">
  <dimension ref="A1:H28"/>
  <sheetViews>
    <sheetView topLeftCell="A10" workbookViewId="0">
      <selection activeCell="G27" sqref="G27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5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-3.02578350515465E-2</v>
      </c>
      <c r="C2">
        <v>-2.0927835051546502E-2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-3.02578350515465E-2</v>
      </c>
      <c r="C3">
        <v>-2.0927835051546502E-2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-3.02578350515465E-2</v>
      </c>
      <c r="C4">
        <v>-2.0927835051546502E-2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-3.02578350515465E-2</v>
      </c>
      <c r="C5">
        <v>-2.0927835051546502E-2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-3.02578350515465E-2</v>
      </c>
      <c r="C6">
        <v>-2.0927835051546502E-2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-3.02578350515465E-2</v>
      </c>
      <c r="C7">
        <v>-2.0927835051546502E-2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-3.02578350515465E-2</v>
      </c>
      <c r="C8">
        <v>-2.0927835051546502E-2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-3.02578350515465E-2</v>
      </c>
      <c r="C9">
        <v>-2.0927835051546502E-2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-3.02578350515465E-2</v>
      </c>
      <c r="C10">
        <v>-2.0927835051546502E-2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-3.02578350515465E-2</v>
      </c>
      <c r="C11">
        <v>-2.0927835051546502E-2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-3.02578350515465E-2</v>
      </c>
      <c r="C12">
        <v>-2.0927835051546502E-2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-3.02578350515465E-2</v>
      </c>
      <c r="C13">
        <v>-2.0927835051546502E-2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-3.02578350515465E-2</v>
      </c>
      <c r="C14">
        <v>-2.0927835051546502E-2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-3.02578350515465E-2</v>
      </c>
      <c r="C15">
        <v>-2.0927835051546502E-2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-3.02578350515465E-2</v>
      </c>
      <c r="C16">
        <v>-2.0927835051546502E-2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-3.02578350515465E-2</v>
      </c>
      <c r="C17">
        <v>-2.0927835051546502E-2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-3.02578350515465E-2</v>
      </c>
      <c r="C18">
        <v>-2.0927835051546502E-2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-3.02578350515465E-2</v>
      </c>
      <c r="C19">
        <v>-2.0927835051546502E-2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-3.02578350515465E-2</v>
      </c>
      <c r="C20">
        <v>-2.0927835051546502E-2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-3.02578350515465E-2</v>
      </c>
      <c r="C21">
        <v>-2.0927835051546502E-2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-3.02578350515465E-2</v>
      </c>
      <c r="C22">
        <v>-2.0927835051546502E-2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-3.02578350515465E-2</v>
      </c>
      <c r="C23">
        <v>-2.0927835051546502E-2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-3.02578350515465E-2</v>
      </c>
      <c r="C24">
        <v>-2.0927835051546502E-2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-3.02578350515465E-2</v>
      </c>
      <c r="C25">
        <v>-2.0927835051546502E-2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-3.02578350515465E-2</v>
      </c>
      <c r="C26">
        <v>-2.0927835051546502E-2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-3.02578350515465E-2</v>
      </c>
      <c r="C27">
        <v>-2.0927835051546502E-2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-3.02578350515465E-2</v>
      </c>
      <c r="C28">
        <v>-2.0927835051546502E-2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C545-1356-4971-9E13-39F1E8E23AEC}">
  <dimension ref="A1:H28"/>
  <sheetViews>
    <sheetView workbookViewId="0">
      <selection activeCell="J25" sqref="J25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4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-1.6677835051546505E-2</v>
      </c>
      <c r="C2">
        <v>-1.7356406480117936E-2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-1.6677835051546505E-2</v>
      </c>
      <c r="C3">
        <v>-1.7356406480117936E-2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-1.6677835051546505E-2</v>
      </c>
      <c r="C4">
        <v>-1.7356406480117936E-2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-1.6677835051546505E-2</v>
      </c>
      <c r="C5">
        <v>-1.7356406480117936E-2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-1.6677835051546505E-2</v>
      </c>
      <c r="C6">
        <v>-1.7356406480117936E-2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-1.6677835051546505E-2</v>
      </c>
      <c r="C7">
        <v>-1.7356406480117936E-2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-1.6677835051546505E-2</v>
      </c>
      <c r="C8">
        <v>-1.7356406480117936E-2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-1.6677835051546505E-2</v>
      </c>
      <c r="C9">
        <v>-1.7356406480117936E-2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-1.6677835051546505E-2</v>
      </c>
      <c r="C10">
        <v>-1.7356406480117936E-2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-1.6677835051546505E-2</v>
      </c>
      <c r="C11">
        <v>-1.7356406480117936E-2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-1.6677835051546505E-2</v>
      </c>
      <c r="C12">
        <v>-1.7356406480117936E-2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-1.6677835051546505E-2</v>
      </c>
      <c r="C13">
        <v>-1.7356406480117936E-2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-1.6677835051546505E-2</v>
      </c>
      <c r="C14">
        <v>-1.7356406480117936E-2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-1.6677835051546505E-2</v>
      </c>
      <c r="C15">
        <v>-1.7356406480117936E-2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-1.6677835051546505E-2</v>
      </c>
      <c r="C16">
        <v>-1.7356406480117936E-2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-1.6677835051546505E-2</v>
      </c>
      <c r="C17">
        <v>-1.7356406480117936E-2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-1.6677835051546505E-2</v>
      </c>
      <c r="C18">
        <v>-1.7356406480117936E-2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-1.6677835051546505E-2</v>
      </c>
      <c r="C19">
        <v>-1.7356406480117936E-2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-1.6677835051546505E-2</v>
      </c>
      <c r="C20">
        <v>-1.7356406480117936E-2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-1.6677835051546505E-2</v>
      </c>
      <c r="C21">
        <v>-1.7356406480117936E-2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-1.6677835051546505E-2</v>
      </c>
      <c r="C22">
        <v>-1.7356406480117936E-2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-1.6677835051546505E-2</v>
      </c>
      <c r="C23">
        <v>-1.7356406480117936E-2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-1.6677835051546505E-2</v>
      </c>
      <c r="C24">
        <v>-1.7356406480117936E-2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-1.6677835051546505E-2</v>
      </c>
      <c r="C25">
        <v>-1.7356406480117936E-2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-1.6677835051546505E-2</v>
      </c>
      <c r="C26">
        <v>-1.7356406480117936E-2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-1.6677835051546505E-2</v>
      </c>
      <c r="C27">
        <v>-1.7356406480117936E-2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-1.6677835051546505E-2</v>
      </c>
      <c r="C28">
        <v>-1.7356406480117936E-2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9CF2-1BCF-4250-A781-9E922296104A}">
  <dimension ref="A1:H28"/>
  <sheetViews>
    <sheetView workbookViewId="0">
      <selection activeCell="J25" sqref="J25"/>
    </sheetView>
  </sheetViews>
  <sheetFormatPr defaultRowHeight="15" x14ac:dyDescent="0.25"/>
  <cols>
    <col min="1" max="1" width="3.140625" customWidth="1"/>
    <col min="2" max="2" width="15.42578125" customWidth="1"/>
    <col min="3" max="3" width="14.42578125" customWidth="1"/>
    <col min="4" max="4" width="2.140625" customWidth="1"/>
    <col min="5" max="5" width="5.7109375" customWidth="1"/>
    <col min="6" max="6" width="2.140625" customWidth="1"/>
    <col min="7" max="7" width="5.7109375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-7.2578350515464934E-3</v>
      </c>
      <c r="C2">
        <v>-1.1895576987030365E-2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-7.2578350515464934E-3</v>
      </c>
      <c r="C3">
        <v>-1.1895576987030365E-2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-7.2578350515464934E-3</v>
      </c>
      <c r="C4">
        <v>-1.1895576987030365E-2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-7.2578350515464934E-3</v>
      </c>
      <c r="C5">
        <v>-1.1895576987030365E-2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-7.2578350515464934E-3</v>
      </c>
      <c r="C6">
        <v>-1.1895576987030365E-2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-7.2578350515464934E-3</v>
      </c>
      <c r="C7">
        <v>-1.1895576987030365E-2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-7.2578350515464934E-3</v>
      </c>
      <c r="C8">
        <v>-1.1895576987030365E-2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-7.2578350515464934E-3</v>
      </c>
      <c r="C9">
        <v>-1.1895576987030365E-2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-7.2578350515464934E-3</v>
      </c>
      <c r="C10">
        <v>-1.1895576987030365E-2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-7.2578350515464934E-3</v>
      </c>
      <c r="C11">
        <v>-1.1895576987030365E-2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-7.2578350515464934E-3</v>
      </c>
      <c r="C12">
        <v>-1.1895576987030365E-2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-7.2578350515464934E-3</v>
      </c>
      <c r="C13">
        <v>-1.1895576987030365E-2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-7.2578350515464934E-3</v>
      </c>
      <c r="C14">
        <v>-1.1895576987030365E-2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-7.2578350515464934E-3</v>
      </c>
      <c r="C15">
        <v>-1.1895576987030365E-2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-7.2578350515464934E-3</v>
      </c>
      <c r="C16">
        <v>-1.1895576987030365E-2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-7.2578350515464934E-3</v>
      </c>
      <c r="C17">
        <v>-1.1895576987030365E-2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-7.2578350515464934E-3</v>
      </c>
      <c r="C18">
        <v>-1.1895576987030365E-2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-7.2578350515464934E-3</v>
      </c>
      <c r="C19">
        <v>-1.1895576987030365E-2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-7.2578350515464934E-3</v>
      </c>
      <c r="C20">
        <v>-1.1895576987030365E-2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-7.2578350515464934E-3</v>
      </c>
      <c r="C21">
        <v>-1.1895576987030365E-2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-7.2578350515464934E-3</v>
      </c>
      <c r="C22">
        <v>-1.1895576987030365E-2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-7.2578350515464934E-3</v>
      </c>
      <c r="C23">
        <v>-1.1895576987030365E-2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-7.2578350515464934E-3</v>
      </c>
      <c r="C24">
        <v>-1.1895576987030365E-2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-7.2578350515464934E-3</v>
      </c>
      <c r="C25">
        <v>-1.1895576987030365E-2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-7.2578350515464934E-3</v>
      </c>
      <c r="C26">
        <v>-1.1895576987030365E-2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-7.2578350515464934E-3</v>
      </c>
      <c r="C27">
        <v>-1.1895576987030365E-2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-7.2578350515464934E-3</v>
      </c>
      <c r="C28">
        <v>-1.1895576987030365E-2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8AE7-7A22-4799-BF6D-21AC75BE0C38}">
  <dimension ref="A1:H28"/>
  <sheetViews>
    <sheetView workbookViewId="0">
      <selection activeCell="M24" sqref="M24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5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</v>
      </c>
    </row>
    <row r="2" spans="1:8" x14ac:dyDescent="0.25">
      <c r="A2">
        <v>2</v>
      </c>
      <c r="B2">
        <v>-3.02578350515465E-2</v>
      </c>
      <c r="C2">
        <v>-2.0927835051546502E-2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-3.02578350515465E-2</v>
      </c>
      <c r="C3">
        <v>-2.0927835051546502E-2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-3.02578350515465E-2</v>
      </c>
      <c r="C4">
        <v>-2.0927835051546502E-2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-3.02578350515465E-2</v>
      </c>
      <c r="C5">
        <v>-2.0927835051546502E-2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-3.02578350515465E-2</v>
      </c>
      <c r="C6">
        <v>-2.0927835051546502E-2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-3.02578350515465E-2</v>
      </c>
      <c r="C7">
        <v>-2.0927835051546502E-2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-3.02578350515465E-2</v>
      </c>
      <c r="C8">
        <v>-2.0927835051546502E-2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-3.02578350515465E-2</v>
      </c>
      <c r="C9">
        <v>-2.0927835051546502E-2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-3.02578350515465E-2</v>
      </c>
      <c r="C10">
        <v>-2.0927835051546502E-2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-3.02578350515465E-2</v>
      </c>
      <c r="C11">
        <v>-2.0927835051546502E-2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-3.02578350515465E-2</v>
      </c>
      <c r="C12">
        <v>-2.0927835051546502E-2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-3.02578350515465E-2</v>
      </c>
      <c r="C13">
        <v>-2.0927835051546502E-2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-3.02578350515465E-2</v>
      </c>
      <c r="C14">
        <v>-2.0927835051546502E-2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-3.02578350515465E-2</v>
      </c>
      <c r="C15">
        <v>-2.0927835051546502E-2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-3.02578350515465E-2</v>
      </c>
      <c r="C16">
        <v>-2.0927835051546502E-2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-3.02578350515465E-2</v>
      </c>
      <c r="C17">
        <v>-2.0927835051546502E-2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-3.02578350515465E-2</v>
      </c>
      <c r="C18">
        <v>-2.0927835051546502E-2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-3.02578350515465E-2</v>
      </c>
      <c r="C19">
        <v>-2.0927835051546502E-2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-3.02578350515465E-2</v>
      </c>
      <c r="C20">
        <v>-2.0927835051546502E-2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-3.02578350515465E-2</v>
      </c>
      <c r="C21">
        <v>-2.0927835051546502E-2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-3.02578350515465E-2</v>
      </c>
      <c r="C22">
        <v>-2.0927835051546502E-2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-3.02578350515465E-2</v>
      </c>
      <c r="C23">
        <v>-2.0927835051546502E-2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-3.02578350515465E-2</v>
      </c>
      <c r="C24">
        <v>-2.0927835051546502E-2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-3.02578350515465E-2</v>
      </c>
      <c r="C25">
        <v>-2.0927835051546502E-2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-3.02578350515465E-2</v>
      </c>
      <c r="C26">
        <v>-2.0927835051546502E-2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-3.02578350515465E-2</v>
      </c>
      <c r="C27">
        <v>-2.0927835051546502E-2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-3.02578350515465E-2</v>
      </c>
      <c r="C28">
        <v>-2.0927835051546502E-2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60F-5989-4101-8FAD-C51D0C6C9DBE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1.627906976744186E-2</v>
      </c>
      <c r="F2">
        <v>1.5058139534883721E-2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2.1419860542164822E-2</v>
      </c>
      <c r="F3">
        <v>1.8982651239839211E-2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2.8401302376947081E-2</v>
      </c>
      <c r="F4">
        <v>2.4752000051365682E-2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4.3102886212165868E-2</v>
      </c>
      <c r="F5">
        <v>3.8245258305189316E-2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6.9091195307744685E-2</v>
      </c>
      <c r="F6">
        <v>6.3028632517046976E-2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7.5679175470951529E-2</v>
      </c>
      <c r="F7">
        <v>6.9207537828523694E-2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8.2182975990666499E-2</v>
      </c>
      <c r="F8">
        <v>7.5445998581930643E-2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8.8604545932006173E-2</v>
      </c>
      <c r="F9">
        <v>8.1744433381918752E-2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9.4945639453574593E-2</v>
      </c>
      <c r="F10">
        <v>8.8103218972674605E-2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0.10120783529811653</v>
      </c>
      <c r="F11">
        <v>9.4522694423965062E-2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0.11243137332382475</v>
      </c>
      <c r="F12">
        <v>0.10646915686524486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0.12350699257722572</v>
      </c>
      <c r="F13">
        <v>0.11854755922330251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0.13443584396177996</v>
      </c>
      <c r="F14">
        <v>0.13075814867999844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0.14521896329060224</v>
      </c>
      <c r="F15">
        <v>0.14310114769900692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0.15585728279549529</v>
      </c>
      <c r="F16">
        <v>0.15557675649763505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0.16734635434820827</v>
      </c>
      <c r="F17">
        <v>0.1693448772122253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0.17867328471168833</v>
      </c>
      <c r="F18">
        <v>0.18325985557029023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0.18983917208757109</v>
      </c>
      <c r="F19">
        <v>0.19732190032094424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0.20084500485732823</v>
      </c>
      <c r="F20">
        <v>0.21153119933839071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0.21169167256428487</v>
      </c>
      <c r="F21">
        <v>0.22588792170941202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0.21534609669979465</v>
      </c>
      <c r="F22">
        <v>0.23164634913241014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0.2189506657481721</v>
      </c>
      <c r="F23">
        <v>0.23744627898120713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0.222506028186501</v>
      </c>
      <c r="F24">
        <v>0.24328783452006739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0.22601276764415729</v>
      </c>
      <c r="F25">
        <v>0.24917112668682873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0.22947140938757862</v>
      </c>
      <c r="F26">
        <v>0.25509625532554553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0.27474733379739091</v>
      </c>
      <c r="D27">
        <v>0.52487491235762407</v>
      </c>
      <c r="E27">
        <v>0.23109109665973609</v>
      </c>
      <c r="F27">
        <v>0.25601004558501278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E7CC-1603-48CC-9933-B0155015B0C5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1.627906976744186E-2</v>
      </c>
      <c r="F2">
        <v>1.5058139534883721E-2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2.1419860542164822E-2</v>
      </c>
      <c r="F3">
        <v>1.8982651239839211E-2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2.8401302376947081E-2</v>
      </c>
      <c r="F4">
        <v>2.4752000051365682E-2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4.3102886212165868E-2</v>
      </c>
      <c r="F5">
        <v>3.8245258305189316E-2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6.9091195307744685E-2</v>
      </c>
      <c r="F6">
        <v>6.3028632517046976E-2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7.5679175470951529E-2</v>
      </c>
      <c r="F7">
        <v>6.9207537828523694E-2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8.2182975990666499E-2</v>
      </c>
      <c r="F8">
        <v>7.5445998581930643E-2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8.8604545932006173E-2</v>
      </c>
      <c r="F9">
        <v>8.1744433381918752E-2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9.4945639453574593E-2</v>
      </c>
      <c r="F10">
        <v>8.8103218972674605E-2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0.10120783529811653</v>
      </c>
      <c r="F11">
        <v>9.4522694423965062E-2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0.11243137332382475</v>
      </c>
      <c r="F12">
        <v>0.10646915686524486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0.12350699257722572</v>
      </c>
      <c r="F13">
        <v>0.11854755922330251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0.13443584396177996</v>
      </c>
      <c r="F14">
        <v>0.13075814867999844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0.14521896329060224</v>
      </c>
      <c r="F15">
        <v>0.14310114769900692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0.15585728279549529</v>
      </c>
      <c r="F16">
        <v>0.15557675649763505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0.16734635434820827</v>
      </c>
      <c r="F17">
        <v>0.1693448772122253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0.17867328471168833</v>
      </c>
      <c r="F18">
        <v>0.18325985557029023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0.18983917208757109</v>
      </c>
      <c r="F19">
        <v>0.19732190032094424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0.20084500485732823</v>
      </c>
      <c r="F20">
        <v>0.21153119933839071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0.21169167256428487</v>
      </c>
      <c r="F21">
        <v>0.22588792170941202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0.21534609669979465</v>
      </c>
      <c r="F22">
        <v>0.23164634913241014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0.2189506657481721</v>
      </c>
      <c r="F23">
        <v>0.23744627898120713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0.222506028186501</v>
      </c>
      <c r="F24">
        <v>0.24328783452006739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0.22601276764415729</v>
      </c>
      <c r="F25">
        <v>0.24917112668682873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0.22947140938757862</v>
      </c>
      <c r="F26">
        <v>0.25509625532554553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0.27474733379739091</v>
      </c>
      <c r="D27">
        <v>0.52487491235762407</v>
      </c>
      <c r="E27">
        <v>0.23109109665973609</v>
      </c>
      <c r="F27">
        <v>0.25601004558501278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A3F7-C031-49F2-BFBD-81ECB1519829}">
  <dimension ref="A1:L27"/>
  <sheetViews>
    <sheetView zoomScale="115" zoomScaleNormal="115" workbookViewId="0">
      <selection activeCell="H27" sqref="H27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E8FD-5894-4E39-8929-10A5569C38B2}">
  <dimension ref="A1:L27"/>
  <sheetViews>
    <sheetView workbookViewId="0">
      <selection activeCell="H2" sqref="H2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9C94-2B3D-4D21-99B7-FA7ABCA17F2B}">
  <dimension ref="A1:L27"/>
  <sheetViews>
    <sheetView tabSelected="1" workbookViewId="0">
      <selection activeCell="H5" sqref="H5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0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0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0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0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0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0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0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0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0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0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0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0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0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8404-8265-4151-A1FB-D2F4E242DA77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3FAE-3EEC-48BF-AFE1-B1996C4316DD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53F9-8745-452A-B11E-D7FBD00588AC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3" width="14.7109375" customWidth="1"/>
    <col min="4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 x14ac:dyDescent="0.25">
      <c r="A2">
        <v>2</v>
      </c>
      <c r="B2">
        <v>2026</v>
      </c>
      <c r="C2">
        <v>9.0080213975388679E-3</v>
      </c>
      <c r="D2">
        <v>2.3004509020298724E-2</v>
      </c>
      <c r="E2">
        <v>1.8515970676033999E-2</v>
      </c>
      <c r="F2">
        <v>1.5531149364940509E-2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2.1387621460069464E-2</v>
      </c>
      <c r="D3">
        <v>4.8623320242517948E-2</v>
      </c>
      <c r="E3">
        <v>2.4594099255918801E-2</v>
      </c>
      <c r="F3">
        <v>1.9658539811670282E-2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3.8303125166815909E-2</v>
      </c>
      <c r="D4">
        <v>7.802481412879457E-2</v>
      </c>
      <c r="E4">
        <v>3.2391945948864617E-2</v>
      </c>
      <c r="F4">
        <v>2.5608608889833857E-2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7.3301805870743308E-2</v>
      </c>
      <c r="D5">
        <v>0.12277423221299161</v>
      </c>
      <c r="E5">
        <v>4.7801405992473497E-2</v>
      </c>
      <c r="F5">
        <v>3.9262333780146111E-2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0.13421733131433222</v>
      </c>
      <c r="D6">
        <v>0.18932972463339681</v>
      </c>
      <c r="E6">
        <v>7.4152619351287072E-2</v>
      </c>
      <c r="F6">
        <v>6.4132261835825655E-2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0.14154489574946122</v>
      </c>
      <c r="D7">
        <v>0.20499680506158202</v>
      </c>
      <c r="E7">
        <v>8.0152427251288377E-2</v>
      </c>
      <c r="F7">
        <v>7.0184434872777438E-2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0.14832610880437821</v>
      </c>
      <c r="D8">
        <v>0.22034293491508411</v>
      </c>
      <c r="E8">
        <v>8.6117344127865758E-2</v>
      </c>
      <c r="F8">
        <v>7.6306800345607204E-2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0.15456053213207271</v>
      </c>
      <c r="D9">
        <v>0.23534945788112355</v>
      </c>
      <c r="E9">
        <v>9.2044398766315441E-2</v>
      </c>
      <c r="F9">
        <v>8.2498704577384632E-2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0.16026162556328491</v>
      </c>
      <c r="D10">
        <v>0.25000830774657634</v>
      </c>
      <c r="E10">
        <v>9.793091687908953E-2</v>
      </c>
      <c r="F10">
        <v>8.8759559453186837E-2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0.1654510382124586</v>
      </c>
      <c r="D11">
        <v>0.26431816686148296</v>
      </c>
      <c r="E11">
        <v>0.10377449141890449</v>
      </c>
      <c r="F11">
        <v>9.508883585807372E-2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0.18008578925028657</v>
      </c>
      <c r="D12">
        <v>0.28762500332216745</v>
      </c>
      <c r="E12">
        <v>0.11461177485004187</v>
      </c>
      <c r="F12">
        <v>0.10695204973814951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0.19345579207098562</v>
      </c>
      <c r="D13">
        <v>0.31016891157030313</v>
      </c>
      <c r="E13">
        <v>0.12533027738702093</v>
      </c>
      <c r="F13">
        <v>0.11895345113267432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0.20561506143077715</v>
      </c>
      <c r="D14">
        <v>0.33195519681051516</v>
      </c>
      <c r="E14">
        <v>0.13592824381220994</v>
      </c>
      <c r="F14">
        <v>0.1310926547970189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0.21662137539465479</v>
      </c>
      <c r="D15">
        <v>0.35299233863963914</v>
      </c>
      <c r="E15">
        <v>0.14640409426246659</v>
      </c>
      <c r="F15">
        <v>0.14336931417829069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0.22653503730440541</v>
      </c>
      <c r="D16">
        <v>0.37329147820618119</v>
      </c>
      <c r="E16">
        <v>0.15672269594976335</v>
      </c>
      <c r="F16">
        <v>0.15577532661272828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0.23650965418785824</v>
      </c>
      <c r="D17">
        <v>0.39422812896417403</v>
      </c>
      <c r="E17">
        <v>0.16770662153588672</v>
      </c>
      <c r="F17">
        <v>0.16943010194371616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0.24540771928337091</v>
      </c>
      <c r="D18">
        <v>0.41439985305837118</v>
      </c>
      <c r="E18">
        <v>0.17857892052943616</v>
      </c>
      <c r="F18">
        <v>0.18324260434025991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0.43381986478942081</v>
      </c>
      <c r="E19">
        <v>0.18933563967238135</v>
      </c>
      <c r="F19">
        <v>0.1972119556092658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0.26022513885787785</v>
      </c>
      <c r="D20">
        <v>0.45250352323725973</v>
      </c>
      <c r="E20">
        <v>0.19997322103249465</v>
      </c>
      <c r="F20">
        <v>0.21133736537694989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0.26627080314301416</v>
      </c>
      <c r="D21">
        <v>0.47046805585406104</v>
      </c>
      <c r="E21">
        <v>0.21048846247077185</v>
      </c>
      <c r="F21">
        <v>0.22561812230690595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0.47637818294754175</v>
      </c>
      <c r="E22">
        <v>0.21384460296447017</v>
      </c>
      <c r="F22">
        <v>0.23130771571666633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0.25718917840216987</v>
      </c>
      <c r="D23">
        <v>0.48228442233190982</v>
      </c>
      <c r="E23">
        <v>0.21718071673521724</v>
      </c>
      <c r="F23">
        <v>0.23704522983727025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0.25296777374456508</v>
      </c>
      <c r="D24">
        <v>0.48819110476488037</v>
      </c>
      <c r="E24">
        <v>0.22049446942367887</v>
      </c>
      <c r="F24">
        <v>0.24283014610447767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0.24895435640098465</v>
      </c>
      <c r="D25">
        <v>0.49410241832084023</v>
      </c>
      <c r="E25">
        <v>0.22378376010645457</v>
      </c>
      <c r="F25">
        <v>0.24866199781047241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0.24514514323676181</v>
      </c>
      <c r="D26">
        <v>0.50002238454215031</v>
      </c>
      <c r="E26">
        <v>0.22704669795248339</v>
      </c>
      <c r="F26">
        <v>0.25454036491822019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0.24114103828030573</v>
      </c>
      <c r="D27">
        <v>0.50102574956170043</v>
      </c>
      <c r="E27">
        <v>0.22890885636815037</v>
      </c>
      <c r="F27">
        <v>0.25550974421841993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6467-3158-4742-9469-25BCD705F11A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3" width="14.7109375" customWidth="1"/>
    <col min="4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25">
      <c r="A2">
        <v>2</v>
      </c>
      <c r="B2">
        <v>2026</v>
      </c>
      <c r="C2">
        <v>9.0080213975388679E-3</v>
      </c>
      <c r="D2">
        <v>2.3004509020298724E-2</v>
      </c>
      <c r="E2">
        <v>1.8515970676033999E-2</v>
      </c>
      <c r="F2">
        <v>1.5531149364940509E-2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2.1387621460069464E-2</v>
      </c>
      <c r="D3">
        <v>4.8623320242517948E-2</v>
      </c>
      <c r="E3">
        <v>2.4594099255918801E-2</v>
      </c>
      <c r="F3">
        <v>1.9658539811670282E-2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3.8303125166815909E-2</v>
      </c>
      <c r="D4">
        <v>7.802481412879457E-2</v>
      </c>
      <c r="E4">
        <v>3.2391945948864617E-2</v>
      </c>
      <c r="F4">
        <v>2.5608608889833857E-2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7.3301805870743308E-2</v>
      </c>
      <c r="D5">
        <v>0.12277423221299161</v>
      </c>
      <c r="E5">
        <v>4.7801405992473497E-2</v>
      </c>
      <c r="F5">
        <v>3.9262333780146111E-2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0.13421733131433222</v>
      </c>
      <c r="D6">
        <v>0.18932972463339681</v>
      </c>
      <c r="E6">
        <v>7.4152619351287072E-2</v>
      </c>
      <c r="F6">
        <v>6.4132261835825655E-2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0.14154489574946122</v>
      </c>
      <c r="D7">
        <v>0.20499680506158202</v>
      </c>
      <c r="E7">
        <v>8.0152427251288377E-2</v>
      </c>
      <c r="F7">
        <v>7.0184434872777438E-2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0.14832610880437821</v>
      </c>
      <c r="D8">
        <v>0.22034293491508411</v>
      </c>
      <c r="E8">
        <v>8.6117344127865758E-2</v>
      </c>
      <c r="F8">
        <v>7.6306800345607204E-2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0.15456053213207271</v>
      </c>
      <c r="D9">
        <v>0.23534945788112355</v>
      </c>
      <c r="E9">
        <v>9.2044398766315441E-2</v>
      </c>
      <c r="F9">
        <v>8.2498704577384632E-2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0.16026162556328491</v>
      </c>
      <c r="D10">
        <v>0.25000830774657634</v>
      </c>
      <c r="E10">
        <v>9.793091687908953E-2</v>
      </c>
      <c r="F10">
        <v>8.8759559453186837E-2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0.1654510382124586</v>
      </c>
      <c r="D11">
        <v>0.26431816686148296</v>
      </c>
      <c r="E11">
        <v>0.10377449141890449</v>
      </c>
      <c r="F11">
        <v>9.508883585807372E-2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0.18008578925028657</v>
      </c>
      <c r="D12">
        <v>0.28762500332216745</v>
      </c>
      <c r="E12">
        <v>0.11461177485004187</v>
      </c>
      <c r="F12">
        <v>0.10695204973814951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0.19345579207098562</v>
      </c>
      <c r="D13">
        <v>0.31016891157030313</v>
      </c>
      <c r="E13">
        <v>0.12533027738702093</v>
      </c>
      <c r="F13">
        <v>0.11895345113267432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0.20561506143077715</v>
      </c>
      <c r="D14">
        <v>0.33195519681051516</v>
      </c>
      <c r="E14">
        <v>0.13592824381220994</v>
      </c>
      <c r="F14">
        <v>0.1310926547970189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0.21662137539465479</v>
      </c>
      <c r="D15">
        <v>0.35299233863963914</v>
      </c>
      <c r="E15">
        <v>0.14640409426246659</v>
      </c>
      <c r="F15">
        <v>0.14336931417829069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0.22653503730440541</v>
      </c>
      <c r="D16">
        <v>0.37329147820618119</v>
      </c>
      <c r="E16">
        <v>0.15672269594976335</v>
      </c>
      <c r="F16">
        <v>0.15577532661272828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0.23650965418785824</v>
      </c>
      <c r="D17">
        <v>0.39422812896417403</v>
      </c>
      <c r="E17">
        <v>0.16770662153588672</v>
      </c>
      <c r="F17">
        <v>0.16943010194371616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0.24540771928337091</v>
      </c>
      <c r="D18">
        <v>0.41439985305837118</v>
      </c>
      <c r="E18">
        <v>0.17857892052943616</v>
      </c>
      <c r="F18">
        <v>0.18324260434025991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0.43381986478942081</v>
      </c>
      <c r="E19">
        <v>0.18933563967238135</v>
      </c>
      <c r="F19">
        <v>0.1972119556092658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0.26022513885787785</v>
      </c>
      <c r="D20">
        <v>0.45250352323725973</v>
      </c>
      <c r="E20">
        <v>0.19997322103249465</v>
      </c>
      <c r="F20">
        <v>0.21133736537694989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0.26627080314301416</v>
      </c>
      <c r="D21">
        <v>0.47046805585406104</v>
      </c>
      <c r="E21">
        <v>0.21048846247077185</v>
      </c>
      <c r="F21">
        <v>0.22561812230690595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0.47637818294754175</v>
      </c>
      <c r="E22">
        <v>0.21384460296447017</v>
      </c>
      <c r="F22">
        <v>0.23130771571666633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0.25718917840216987</v>
      </c>
      <c r="D23">
        <v>0.48228442233190982</v>
      </c>
      <c r="E23">
        <v>0.21718071673521724</v>
      </c>
      <c r="F23">
        <v>0.23704522983727025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0.25296777374456508</v>
      </c>
      <c r="D24">
        <v>0.48819110476488037</v>
      </c>
      <c r="E24">
        <v>0.22049446942367887</v>
      </c>
      <c r="F24">
        <v>0.24283014610447767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0.24895435640098465</v>
      </c>
      <c r="D25">
        <v>0.49410241832084023</v>
      </c>
      <c r="E25">
        <v>0.22378376010645457</v>
      </c>
      <c r="F25">
        <v>0.24866199781047241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0.24514514323676181</v>
      </c>
      <c r="D26">
        <v>0.50002238454215031</v>
      </c>
      <c r="E26">
        <v>0.22704669795248339</v>
      </c>
      <c r="F26">
        <v>0.25454036491822019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0.24114103828030573</v>
      </c>
      <c r="D27">
        <v>0.50102574956170043</v>
      </c>
      <c r="E27">
        <v>0.22890885636815037</v>
      </c>
      <c r="F27">
        <v>0.25550974421841993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F162-8619-48CE-B944-87A33DFBAE8D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6.7109375" customWidth="1"/>
    <col min="10" max="12" width="2.140625" customWidth="1"/>
  </cols>
  <sheetData>
    <row r="1" spans="1:12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</row>
    <row r="2" spans="1:12" x14ac:dyDescent="0.25">
      <c r="A2">
        <v>2</v>
      </c>
      <c r="B2">
        <v>2026</v>
      </c>
      <c r="C2">
        <v>2.2146158834970585E-2</v>
      </c>
      <c r="D2">
        <v>3.0403933715392885E-2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3.9023528704775004E-2</v>
      </c>
      <c r="D3">
        <v>5.6813748692027655E-2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1.2999999999999997E-3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5.6209465511939644E-2</v>
      </c>
      <c r="D4">
        <v>8.3406894018566075E-2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1.2999999999999995E-3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0.11065871980559656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1.3000000000000025E-3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9.3605830805780707E-2</v>
      </c>
      <c r="D6">
        <v>0.13888394466970799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1.2999999999999956E-3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9.8280525065093688E-2</v>
      </c>
      <c r="D7">
        <v>0.14993588416038314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1.3000000000000008E-3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0.10292637827964235</v>
      </c>
      <c r="D8">
        <v>0.16097069316306739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1.2999999999999991E-3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0.10754508878893682</v>
      </c>
      <c r="D9">
        <v>0.17198867983082336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1.2999999999999991E-3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0.11213838712975689</v>
      </c>
      <c r="D10">
        <v>0.18299019510468367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1.2999999999999991E-3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0.11670801591091162</v>
      </c>
      <c r="D11">
        <v>0.19397562843824601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1.2999999999999973E-3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0.12169548090426206</v>
      </c>
      <c r="D12">
        <v>0.20535594197007198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1.2999999999999852E-3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0.12663176246949975</v>
      </c>
      <c r="D13">
        <v>0.21670877499760735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1.2999999999999748E-3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0.13151802028130563</v>
      </c>
      <c r="D14">
        <v>0.22803345728645152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1.2999999999999852E-3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0.13635576859690079</v>
      </c>
      <c r="D15">
        <v>0.23932947281076034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1.2999999999999956E-3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0.14114682506223042</v>
      </c>
      <c r="D16">
        <v>0.25059645880517711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1.2999999999999852E-3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0.1454184059330606</v>
      </c>
      <c r="D17">
        <v>0.26169918928473412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1.2999999999999956E-3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0.14964067280162646</v>
      </c>
      <c r="D18">
        <v>0.27277030014276155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1.300000000000006E-3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0.15381590927306521</v>
      </c>
      <c r="D19">
        <v>0.28380954165435224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1.300000000000013E-3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0.15794659297158123</v>
      </c>
      <c r="D20">
        <v>0.29481682937428372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1.2999999999999991E-3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0.16203534363541311</v>
      </c>
      <c r="D21">
        <v>0.30579223768461627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1.2999999999999991E-3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0.16561990693976542</v>
      </c>
      <c r="D22">
        <v>0.3161864159515998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1.2999999999999956E-3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0.16921634335206975</v>
      </c>
      <c r="D23">
        <v>0.32658050434194341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1.2999999999999887E-3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0.17282443267083483</v>
      </c>
      <c r="D24">
        <v>0.33697481238062826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1.2999999999999817E-3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0.17644394199426444</v>
      </c>
      <c r="D25">
        <v>0.34736962622380269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1.2999999999999887E-3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0.18007462864153165</v>
      </c>
      <c r="D26">
        <v>0.35776520980851667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1.2999999999999817E-3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0.17346770310126636</v>
      </c>
      <c r="D27">
        <v>0.35307828783872142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-5.6669440789383629E-4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582B-9C10-40C4-B870-D6373810C8DE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6.7109375" customWidth="1"/>
    <col min="10" max="12" width="2.140625" customWidth="1"/>
  </cols>
  <sheetData>
    <row r="1" spans="1:12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</row>
    <row r="2" spans="1:12" x14ac:dyDescent="0.25">
      <c r="A2">
        <v>2</v>
      </c>
      <c r="B2">
        <v>2026</v>
      </c>
      <c r="C2">
        <v>2.2146158834970585E-2</v>
      </c>
      <c r="D2">
        <v>3.0403933715392885E-2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3.9023528704775004E-2</v>
      </c>
      <c r="D3">
        <v>5.6813748692027655E-2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1.2999999999999997E-3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5.6209465511939644E-2</v>
      </c>
      <c r="D4">
        <v>8.3406894018566075E-2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1.2999999999999995E-3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0.11065871980559656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1.3000000000000025E-3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9.3605830805780707E-2</v>
      </c>
      <c r="D6">
        <v>0.13888394466970799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1.2999999999999956E-3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9.8280525065093688E-2</v>
      </c>
      <c r="D7">
        <v>0.14993588416038314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1.3000000000000008E-3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0.10292637827964235</v>
      </c>
      <c r="D8">
        <v>0.16097069316306739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1.2999999999999991E-3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0.10754508878893682</v>
      </c>
      <c r="D9">
        <v>0.17198867983082336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1.2999999999999991E-3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0.11213838712975689</v>
      </c>
      <c r="D10">
        <v>0.18299019510468367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1.2999999999999991E-3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0.11670801591091162</v>
      </c>
      <c r="D11">
        <v>0.19397562843824601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1.2999999999999973E-3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0.12169548090426206</v>
      </c>
      <c r="D12">
        <v>0.20535594197007198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1.2999999999999852E-3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0.12663176246949975</v>
      </c>
      <c r="D13">
        <v>0.21670877499760735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1.2999999999999748E-3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0.13151802028130563</v>
      </c>
      <c r="D14">
        <v>0.22803345728645152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1.2999999999999852E-3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0.13635576859690079</v>
      </c>
      <c r="D15">
        <v>0.23932947281076034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1.2999999999999956E-3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0.14114682506223042</v>
      </c>
      <c r="D16">
        <v>0.25059645880517711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1.2999999999999852E-3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0.1454184059330606</v>
      </c>
      <c r="D17">
        <v>0.26169918928473412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1.2999999999999956E-3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0.14964067280162646</v>
      </c>
      <c r="D18">
        <v>0.27277030014276155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1.300000000000006E-3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0.15381590927306521</v>
      </c>
      <c r="D19">
        <v>0.28380954165435224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1.300000000000013E-3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0.15794659297158123</v>
      </c>
      <c r="D20">
        <v>0.29481682937428372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1.2999999999999991E-3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0.16203534363541311</v>
      </c>
      <c r="D21">
        <v>0.30579223768461627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1.2999999999999991E-3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0.16561990693976542</v>
      </c>
      <c r="D22">
        <v>0.3161864159515998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1.2999999999999956E-3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0.16921634335206975</v>
      </c>
      <c r="D23">
        <v>0.32658050434194341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1.2999999999999887E-3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0.17282443267083483</v>
      </c>
      <c r="D24">
        <v>0.33697481238062826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1.2999999999999817E-3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0.17644394199426444</v>
      </c>
      <c r="D25">
        <v>0.34736962622380269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1.2999999999999887E-3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0.18007462864153165</v>
      </c>
      <c r="D26">
        <v>0.35776520980851667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1.2999999999999817E-3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0.17346770310126636</v>
      </c>
      <c r="D27">
        <v>0.35307828783872142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-5.6669440789383629E-4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7"/>
  <sheetViews>
    <sheetView workbookViewId="0">
      <selection activeCell="K16" sqref="K16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E7CF-B23A-4CF7-A4AB-685D62302686}">
  <dimension ref="A1:T28"/>
  <sheetViews>
    <sheetView workbookViewId="0">
      <selection activeCell="F43" sqref="F43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  <col min="19" max="19" width="2.140625" customWidth="1"/>
  </cols>
  <sheetData>
    <row r="1" spans="1:2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1</v>
      </c>
      <c r="T1" t="s">
        <v>6</v>
      </c>
    </row>
    <row r="2" spans="1:20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  <c r="M2">
        <v>-1.6677835051546505E-2</v>
      </c>
      <c r="N2">
        <v>-1.7356406480117936E-2</v>
      </c>
      <c r="O2">
        <v>1</v>
      </c>
      <c r="P2">
        <v>0.19</v>
      </c>
      <c r="Q2">
        <v>1</v>
      </c>
      <c r="R2">
        <v>0.14000000000000001</v>
      </c>
      <c r="S2">
        <v>1</v>
      </c>
      <c r="T2" s="3">
        <v>1</v>
      </c>
    </row>
    <row r="3" spans="1:20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  <c r="M3">
        <v>-1.6677835051546505E-2</v>
      </c>
      <c r="N3">
        <v>-1.7356406480117936E-2</v>
      </c>
      <c r="O3">
        <v>1</v>
      </c>
      <c r="P3">
        <v>0.19</v>
      </c>
      <c r="Q3">
        <v>1</v>
      </c>
      <c r="R3">
        <v>0.14000000000000001</v>
      </c>
      <c r="S3">
        <v>1</v>
      </c>
      <c r="T3" s="3">
        <v>1</v>
      </c>
    </row>
    <row r="4" spans="1:20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  <c r="M4">
        <v>-1.6677835051546505E-2</v>
      </c>
      <c r="N4">
        <v>-1.7356406480117936E-2</v>
      </c>
      <c r="O4">
        <v>1</v>
      </c>
      <c r="P4">
        <v>0.19</v>
      </c>
      <c r="Q4">
        <v>1</v>
      </c>
      <c r="R4">
        <v>0.14000000000000001</v>
      </c>
      <c r="S4">
        <v>1</v>
      </c>
      <c r="T4" s="3">
        <v>1</v>
      </c>
    </row>
    <row r="5" spans="1:20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  <c r="M5">
        <v>-1.6677835051546505E-2</v>
      </c>
      <c r="N5">
        <v>-1.7356406480117936E-2</v>
      </c>
      <c r="O5">
        <v>1</v>
      </c>
      <c r="P5">
        <v>0.19</v>
      </c>
      <c r="Q5">
        <v>1</v>
      </c>
      <c r="R5">
        <v>0.14000000000000001</v>
      </c>
      <c r="S5">
        <v>1</v>
      </c>
      <c r="T5" s="3">
        <v>1</v>
      </c>
    </row>
    <row r="6" spans="1:20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  <c r="M6">
        <v>-1.6677835051546505E-2</v>
      </c>
      <c r="N6">
        <v>-1.7356406480117936E-2</v>
      </c>
      <c r="O6">
        <v>1</v>
      </c>
      <c r="P6">
        <v>0.19</v>
      </c>
      <c r="Q6">
        <v>1</v>
      </c>
      <c r="R6">
        <v>0.14000000000000001</v>
      </c>
      <c r="S6">
        <v>1</v>
      </c>
      <c r="T6" s="3">
        <v>1</v>
      </c>
    </row>
    <row r="7" spans="1:20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  <c r="M7">
        <v>-1.6677835051546505E-2</v>
      </c>
      <c r="N7">
        <v>-1.7356406480117936E-2</v>
      </c>
      <c r="O7">
        <v>1</v>
      </c>
      <c r="P7">
        <v>0.19</v>
      </c>
      <c r="Q7">
        <v>1</v>
      </c>
      <c r="R7">
        <v>0.14000000000000001</v>
      </c>
      <c r="S7">
        <v>1</v>
      </c>
      <c r="T7" s="3">
        <v>1</v>
      </c>
    </row>
    <row r="8" spans="1:20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  <c r="M8">
        <v>-1.6677835051546505E-2</v>
      </c>
      <c r="N8">
        <v>-1.7356406480117936E-2</v>
      </c>
      <c r="O8">
        <v>1</v>
      </c>
      <c r="P8">
        <v>0.19</v>
      </c>
      <c r="Q8">
        <v>1</v>
      </c>
      <c r="R8">
        <v>0.14000000000000001</v>
      </c>
      <c r="S8">
        <v>1</v>
      </c>
      <c r="T8" s="3">
        <v>1</v>
      </c>
    </row>
    <row r="9" spans="1:20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  <c r="M9">
        <v>-1.6677835051546505E-2</v>
      </c>
      <c r="N9">
        <v>-1.7356406480117936E-2</v>
      </c>
      <c r="O9">
        <v>1</v>
      </c>
      <c r="P9">
        <v>0.19</v>
      </c>
      <c r="Q9">
        <v>1</v>
      </c>
      <c r="R9">
        <v>0.14000000000000001</v>
      </c>
      <c r="S9">
        <v>1</v>
      </c>
      <c r="T9" s="3">
        <v>1</v>
      </c>
    </row>
    <row r="10" spans="1:20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  <c r="M10">
        <v>-1.6677835051546505E-2</v>
      </c>
      <c r="N10">
        <v>-1.7356406480117936E-2</v>
      </c>
      <c r="O10">
        <v>1</v>
      </c>
      <c r="P10">
        <v>0.19</v>
      </c>
      <c r="Q10">
        <v>1</v>
      </c>
      <c r="R10">
        <v>0.14000000000000001</v>
      </c>
      <c r="S10">
        <v>1</v>
      </c>
      <c r="T10" s="3">
        <v>1</v>
      </c>
    </row>
    <row r="11" spans="1:20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  <c r="M11">
        <v>-1.6677835051546505E-2</v>
      </c>
      <c r="N11">
        <v>-1.7356406480117936E-2</v>
      </c>
      <c r="O11">
        <v>1</v>
      </c>
      <c r="P11">
        <v>0.19</v>
      </c>
      <c r="Q11">
        <v>1</v>
      </c>
      <c r="R11">
        <v>0.14000000000000001</v>
      </c>
      <c r="S11">
        <v>1</v>
      </c>
      <c r="T11" s="3">
        <v>1</v>
      </c>
    </row>
    <row r="12" spans="1:20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  <c r="M12">
        <v>-1.6677835051546505E-2</v>
      </c>
      <c r="N12">
        <v>-1.7356406480117936E-2</v>
      </c>
      <c r="O12">
        <v>1</v>
      </c>
      <c r="P12">
        <v>0.19</v>
      </c>
      <c r="Q12">
        <v>1</v>
      </c>
      <c r="R12">
        <v>0.14000000000000001</v>
      </c>
      <c r="S12">
        <v>1</v>
      </c>
      <c r="T12" s="3">
        <v>1</v>
      </c>
    </row>
    <row r="13" spans="1:20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  <c r="M13">
        <v>-1.6677835051546505E-2</v>
      </c>
      <c r="N13">
        <v>-1.7356406480117936E-2</v>
      </c>
      <c r="O13">
        <v>1</v>
      </c>
      <c r="P13">
        <v>0.19</v>
      </c>
      <c r="Q13">
        <v>1</v>
      </c>
      <c r="R13">
        <v>0.14000000000000001</v>
      </c>
      <c r="S13">
        <v>1</v>
      </c>
      <c r="T13" s="3">
        <v>1</v>
      </c>
    </row>
    <row r="14" spans="1:20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  <c r="M14">
        <v>-1.6677835051546505E-2</v>
      </c>
      <c r="N14">
        <v>-1.7356406480117936E-2</v>
      </c>
      <c r="O14">
        <v>1</v>
      </c>
      <c r="P14">
        <v>0.19</v>
      </c>
      <c r="Q14">
        <v>1</v>
      </c>
      <c r="R14">
        <v>0.14000000000000001</v>
      </c>
      <c r="S14">
        <v>1</v>
      </c>
      <c r="T14" s="3">
        <v>1</v>
      </c>
    </row>
    <row r="15" spans="1:20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  <c r="M15">
        <v>-1.6677835051546505E-2</v>
      </c>
      <c r="N15">
        <v>-1.7356406480117936E-2</v>
      </c>
      <c r="O15">
        <v>1</v>
      </c>
      <c r="P15">
        <v>0.19</v>
      </c>
      <c r="Q15">
        <v>1</v>
      </c>
      <c r="R15">
        <v>0.14000000000000001</v>
      </c>
      <c r="S15">
        <v>1</v>
      </c>
      <c r="T15" s="3">
        <v>1</v>
      </c>
    </row>
    <row r="16" spans="1:20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  <c r="M16">
        <v>-1.6677835051546505E-2</v>
      </c>
      <c r="N16">
        <v>-1.7356406480117936E-2</v>
      </c>
      <c r="O16">
        <v>1</v>
      </c>
      <c r="P16">
        <v>0.19</v>
      </c>
      <c r="Q16">
        <v>1</v>
      </c>
      <c r="R16">
        <v>0.14000000000000001</v>
      </c>
      <c r="S16">
        <v>1</v>
      </c>
      <c r="T16" s="3">
        <v>1</v>
      </c>
    </row>
    <row r="17" spans="1:20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  <c r="M17">
        <v>-1.6677835051546505E-2</v>
      </c>
      <c r="N17">
        <v>-1.7356406480117936E-2</v>
      </c>
      <c r="O17">
        <v>1</v>
      </c>
      <c r="P17">
        <v>0.19</v>
      </c>
      <c r="Q17">
        <v>1</v>
      </c>
      <c r="R17">
        <v>0.14000000000000001</v>
      </c>
      <c r="S17">
        <v>1</v>
      </c>
      <c r="T17" s="3">
        <v>1</v>
      </c>
    </row>
    <row r="18" spans="1:20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  <c r="M18">
        <v>-1.6677835051546505E-2</v>
      </c>
      <c r="N18">
        <v>-1.7356406480117936E-2</v>
      </c>
      <c r="O18">
        <v>1</v>
      </c>
      <c r="P18">
        <v>0.19</v>
      </c>
      <c r="Q18">
        <v>1</v>
      </c>
      <c r="R18">
        <v>0.14000000000000001</v>
      </c>
      <c r="S18">
        <v>1</v>
      </c>
      <c r="T18" s="3">
        <v>1</v>
      </c>
    </row>
    <row r="19" spans="1:20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  <c r="M19">
        <v>-1.6677835051546505E-2</v>
      </c>
      <c r="N19">
        <v>-1.7356406480117936E-2</v>
      </c>
      <c r="O19">
        <v>1</v>
      </c>
      <c r="P19">
        <v>0.19</v>
      </c>
      <c r="Q19">
        <v>1</v>
      </c>
      <c r="R19">
        <v>0.14000000000000001</v>
      </c>
      <c r="S19">
        <v>1</v>
      </c>
      <c r="T19" s="3">
        <v>1</v>
      </c>
    </row>
    <row r="20" spans="1:20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  <c r="M20">
        <v>-1.6677835051546505E-2</v>
      </c>
      <c r="N20">
        <v>-1.7356406480117936E-2</v>
      </c>
      <c r="O20">
        <v>1</v>
      </c>
      <c r="P20">
        <v>0.19</v>
      </c>
      <c r="Q20">
        <v>1</v>
      </c>
      <c r="R20">
        <v>0.14000000000000001</v>
      </c>
      <c r="S20">
        <v>1</v>
      </c>
      <c r="T20" s="3">
        <v>1</v>
      </c>
    </row>
    <row r="21" spans="1:20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  <c r="M21">
        <v>-1.6677835051546505E-2</v>
      </c>
      <c r="N21">
        <v>-1.7356406480117936E-2</v>
      </c>
      <c r="O21">
        <v>1</v>
      </c>
      <c r="P21">
        <v>0.19</v>
      </c>
      <c r="Q21">
        <v>1</v>
      </c>
      <c r="R21">
        <v>0.14000000000000001</v>
      </c>
      <c r="S21">
        <v>1</v>
      </c>
      <c r="T21" s="3">
        <v>1</v>
      </c>
    </row>
    <row r="22" spans="1:20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  <c r="M22">
        <v>-1.6677835051546505E-2</v>
      </c>
      <c r="N22">
        <v>-1.7356406480117936E-2</v>
      </c>
      <c r="O22">
        <v>1</v>
      </c>
      <c r="P22">
        <v>0.19</v>
      </c>
      <c r="Q22">
        <v>1</v>
      </c>
      <c r="R22">
        <v>0.14000000000000001</v>
      </c>
      <c r="S22">
        <v>1</v>
      </c>
      <c r="T22" s="3">
        <v>1</v>
      </c>
    </row>
    <row r="23" spans="1:20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  <c r="M23">
        <v>-1.6677835051546505E-2</v>
      </c>
      <c r="N23">
        <v>-1.7356406480117936E-2</v>
      </c>
      <c r="O23">
        <v>1</v>
      </c>
      <c r="P23">
        <v>0.19</v>
      </c>
      <c r="Q23">
        <v>1</v>
      </c>
      <c r="R23">
        <v>0.14000000000000001</v>
      </c>
      <c r="S23">
        <v>1</v>
      </c>
      <c r="T23" s="3">
        <v>1</v>
      </c>
    </row>
    <row r="24" spans="1:20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  <c r="M24">
        <v>-1.6677835051546505E-2</v>
      </c>
      <c r="N24">
        <v>-1.7356406480117936E-2</v>
      </c>
      <c r="O24">
        <v>1</v>
      </c>
      <c r="P24">
        <v>0.19</v>
      </c>
      <c r="Q24">
        <v>1</v>
      </c>
      <c r="R24">
        <v>0.14000000000000001</v>
      </c>
      <c r="S24">
        <v>1</v>
      </c>
      <c r="T24" s="3">
        <v>1</v>
      </c>
    </row>
    <row r="25" spans="1:20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  <c r="M25">
        <v>-1.6677835051546505E-2</v>
      </c>
      <c r="N25">
        <v>-1.7356406480117936E-2</v>
      </c>
      <c r="O25">
        <v>1</v>
      </c>
      <c r="P25">
        <v>0.19</v>
      </c>
      <c r="Q25">
        <v>1</v>
      </c>
      <c r="R25">
        <v>0.14000000000000001</v>
      </c>
      <c r="S25">
        <v>1</v>
      </c>
      <c r="T25" s="3">
        <v>1</v>
      </c>
    </row>
    <row r="26" spans="1:20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  <c r="M26">
        <v>-1.6677835051546505E-2</v>
      </c>
      <c r="N26">
        <v>-1.7356406480117936E-2</v>
      </c>
      <c r="O26">
        <v>1</v>
      </c>
      <c r="P26">
        <v>0.19</v>
      </c>
      <c r="Q26">
        <v>1</v>
      </c>
      <c r="R26">
        <v>0.14000000000000001</v>
      </c>
      <c r="S26">
        <v>1</v>
      </c>
      <c r="T26" s="3">
        <v>1</v>
      </c>
    </row>
    <row r="27" spans="1:20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  <c r="M27">
        <v>-1.6677835051546505E-2</v>
      </c>
      <c r="N27">
        <v>-1.7356406480117936E-2</v>
      </c>
      <c r="O27">
        <v>1</v>
      </c>
      <c r="P27">
        <v>0.19</v>
      </c>
      <c r="Q27">
        <v>1</v>
      </c>
      <c r="R27">
        <v>0.14000000000000001</v>
      </c>
      <c r="S27">
        <v>1</v>
      </c>
      <c r="T27" s="3">
        <v>1</v>
      </c>
    </row>
    <row r="28" spans="1:20" x14ac:dyDescent="0.25">
      <c r="A28">
        <v>28</v>
      </c>
      <c r="B28">
        <v>2052</v>
      </c>
      <c r="C28">
        <v>0.33643657404006722</v>
      </c>
      <c r="D28">
        <v>0.56652431353207044</v>
      </c>
      <c r="E28">
        <v>0.23202718776586015</v>
      </c>
      <c r="F28">
        <v>0.25625230499359875</v>
      </c>
      <c r="G28">
        <v>1.5030035427630426E-2</v>
      </c>
      <c r="H28">
        <v>1.8111042717890897</v>
      </c>
      <c r="I28">
        <v>2.2423415792021759E-2</v>
      </c>
      <c r="J28">
        <v>1</v>
      </c>
      <c r="K28">
        <v>1</v>
      </c>
      <c r="L28">
        <v>1</v>
      </c>
      <c r="M28">
        <v>-1.6677835051546505E-2</v>
      </c>
      <c r="N28">
        <v>-1.7356406480117936E-2</v>
      </c>
      <c r="O28">
        <v>0</v>
      </c>
      <c r="P28">
        <v>0.19</v>
      </c>
      <c r="Q28">
        <v>0</v>
      </c>
      <c r="R28">
        <v>0.14000000000000001</v>
      </c>
      <c r="S28">
        <v>1</v>
      </c>
      <c r="T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NZ</vt:lpstr>
      <vt:lpstr>NZ_constEE</vt:lpstr>
      <vt:lpstr>NZ_constInt</vt:lpstr>
      <vt:lpstr>NZ_constEEInt</vt:lpstr>
      <vt:lpstr>NZ_subsidy</vt:lpstr>
      <vt:lpstr>ImportShock_Fossil2_P10</vt:lpstr>
      <vt:lpstr>PDP8_GF_A</vt:lpstr>
      <vt:lpstr>PDP8_GF_B</vt:lpstr>
      <vt:lpstr>PDP8_GF_C</vt:lpstr>
      <vt:lpstr>NZ_GF_A</vt:lpstr>
      <vt:lpstr>NZ_GF_B</vt:lpstr>
      <vt:lpstr>NZ_GF_C</vt:lpstr>
      <vt:lpstr>EE_PDP8_ref</vt:lpstr>
      <vt:lpstr>EE_PDP8_ref_NoBESS</vt:lpstr>
      <vt:lpstr>EE_Dir10_full</vt:lpstr>
      <vt:lpstr>EE_Dir10_full_NoBESS (2)</vt:lpstr>
      <vt:lpstr>EE_Dir10_full_NoBESS</vt:lpstr>
      <vt:lpstr>EE_RTS_prerev_95GW</vt:lpstr>
      <vt:lpstr>EE_RTS_prerev_95GW_NoBESS</vt:lpstr>
      <vt:lpstr>EE_Dir10_RTSslice</vt:lpstr>
      <vt:lpstr>EE_Dir10_RTSslice_NoBESS</vt:lpstr>
      <vt:lpstr>EE_Dir10_EEonly</vt:lpstr>
      <vt:lpstr>EE_Dir10_EEonly_NoBESS</vt:lpstr>
      <vt:lpstr>NZ_Dir10_full</vt:lpstr>
      <vt:lpstr>NZ_Dir10_full_NoBESS</vt:lpstr>
      <vt:lpstr>NZ_RTS_prerev_95GW</vt:lpstr>
      <vt:lpstr>NZ_RTS_prerev_95GW_NoBESS</vt:lpstr>
      <vt:lpstr>NZ_Dir10_full_GF_C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2026-09-13T16:47:09Z</dcterms:modified>
</cp:coreProperties>
</file>