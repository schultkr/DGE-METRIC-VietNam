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7" autoFilterDateGrouping="1"/>
  </bookViews>
  <sheets>
    <sheet name="README" sheetId="1" state="visible" r:id="rId1"/>
    <sheet name="Context" sheetId="2" state="visible" r:id="rId2"/>
    <sheet name="Assumption_Dictionary" sheetId="3" state="visible" r:id="rId3"/>
    <sheet name="PV_Yield_Source" sheetId="4" state="visible" r:id="rId4"/>
    <sheet name="PDP8_revised" sheetId="5" state="visible" r:id="rId5"/>
    <sheet name="PDP8_PV_EV_BESS" sheetId="6" state="visible" r:id="rId6"/>
    <sheet name="Directive10_RTS_EE" sheetId="7" state="visible" r:id="rId7"/>
    <sheet name="EE_PDP8_referenc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1"/>
    </font>
    <font>
      <name val="Calibri"/>
      <b val="1"/>
      <sz val="14"/>
    </font>
    <font>
      <name val="Calibri"/>
      <b val="1"/>
      <sz val="11"/>
    </font>
    <font>
      <name val="Tahoma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F4F6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5" fillId="7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8" borderId="0" pivotButton="0" quotePrefix="0" xfId="0"/>
    <xf numFmtId="0" fontId="7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tc={2D7CE116-C2FF-45C2-9F4D-731CCF260025}</author>
    <author>tc={DCDAA89E-F8A2-4722-8984-9659BAE595D5}</author>
  </authors>
  <commentList>
    <comment ref="C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 Percent of PDP8 Revised</t>
      </text>
    </comment>
    <comment ref="C10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 Percent of RTS in PDP8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51" sqref="A51"/>
    </sheetView>
  </sheetViews>
  <sheetFormatPr baseColWidth="8" defaultRowHeight="15"/>
  <cols>
    <col width="78.5703125" customWidth="1" style="17" min="1" max="2"/>
  </cols>
  <sheetData>
    <row r="1" ht="31.5" customHeight="1" s="17">
      <c r="A1" s="1" t="inlineStr">
        <is>
          <t>Vietnam Energy Expert Scenario Inputs</t>
        </is>
      </c>
    </row>
    <row r="3" ht="35.25" customHeight="1" s="17">
      <c r="A3" s="16" t="inlineStr">
        <is>
          <t>Purpose</t>
        </is>
      </c>
      <c r="B3" s="16" t="inlineStr">
        <is>
          <t>Expert-facing scenario workbook with explicit annual time series for rooftop PV, BESS, EV, DSM and derived DGE proxy inputs.</t>
        </is>
      </c>
    </row>
    <row r="4" ht="28.5" customHeight="1" s="17">
      <c r="A4" s="16" t="inlineStr">
        <is>
          <t>Scenarios</t>
        </is>
      </c>
      <c r="B4" s="16" t="inlineStr">
        <is>
          <t>PDP8_revised, PDP8_PV_EV_BESS, Directive10_RTS_EE</t>
        </is>
      </c>
    </row>
    <row r="7">
      <c r="A7" s="5" t="n"/>
    </row>
    <row r="15">
      <c r="A15" s="12" t="inlineStr">
        <is>
          <t>Updated rooftop PV source</t>
        </is>
      </c>
      <c r="B15" t="inlineStr">
        <is>
          <t>RTS_CapacityFactor and RTS_Generation_TWh in PV scenario sheets now use the national-average 2025 PVout coefficients from the expert file PV out for rooftop..xlsx.</t>
        </is>
      </c>
    </row>
    <row r="16">
      <c r="B16" t="inlineStr">
        <is>
          <t>National annual PVout = 1239.9999999999998 kWh/kWp/year, implying a physical rooftop capacity factor of 0.141552511.</t>
        </is>
      </c>
    </row>
    <row r="17">
      <c r="B17" t="inlineStr">
        <is>
          <t>PV_Integration_Gain_pct remains a separate integration/usable-output uplift and is not folded into the physical capacity factor.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75" zoomScaleNormal="175" workbookViewId="0">
      <selection activeCell="A11" sqref="A11:XFD11"/>
    </sheetView>
  </sheetViews>
  <sheetFormatPr baseColWidth="8" defaultRowHeight="15"/>
  <cols>
    <col width="22" customWidth="1" style="17" min="1" max="1"/>
    <col width="90" customWidth="1" style="17" min="2" max="2"/>
  </cols>
  <sheetData>
    <row r="1" ht="18.75" customHeight="1" s="17">
      <c r="A1" s="9" t="inlineStr">
        <is>
          <t>Workbook Context</t>
        </is>
      </c>
    </row>
    <row r="3">
      <c r="A3" s="10" t="inlineStr">
        <is>
          <t>Sheet</t>
        </is>
      </c>
      <c r="B3" s="10" t="inlineStr">
        <is>
          <t>Purpose</t>
        </is>
      </c>
    </row>
    <row r="4" ht="30" customHeight="1" s="17">
      <c r="A4" s="16" t="inlineStr">
        <is>
          <t>README</t>
        </is>
      </c>
      <c r="B4" s="16" t="inlineStr">
        <is>
          <t>High-level workbook overview, proxy mapping rules, and usage notes for the scenario-input workbook.</t>
        </is>
      </c>
    </row>
    <row r="5">
      <c r="A5" s="16" t="inlineStr">
        <is>
          <t>Context</t>
        </is>
      </c>
      <c r="B5" s="16" t="inlineStr">
        <is>
          <t>Short guide to what each sheet contains and how the workbook is organized.</t>
        </is>
      </c>
    </row>
    <row r="6">
      <c r="A6" s="16" t="inlineStr">
        <is>
          <t>Assumption_Dictionary</t>
        </is>
      </c>
      <c r="B6" s="16" t="inlineStr">
        <is>
          <t>Definition of each assumption column and DGE proxy field used across scenario sheets.</t>
        </is>
      </c>
    </row>
    <row r="7">
      <c r="A7" s="16" t="inlineStr">
        <is>
          <t>PDP8_revised</t>
        </is>
      </c>
      <c r="B7" s="16" t="inlineStr">
        <is>
          <t>Reference scenario with explicit annual assumptions for rooftop PV, BESS, EV, DSM</t>
        </is>
      </c>
    </row>
    <row r="8" ht="30" customHeight="1" s="17">
      <c r="A8" s="16" t="inlineStr">
        <is>
          <t>PDP8_PV_EV_BESS</t>
        </is>
      </c>
      <c r="B8" s="16" t="inlineStr">
        <is>
          <t>Accelerated rollout scenario for rooftop PV, EVs, and BESS with annual physical and policy assumptions.</t>
        </is>
      </c>
    </row>
    <row r="9" ht="30" customHeight="1" s="17">
      <c r="A9" s="16" t="inlineStr">
        <is>
          <t>Directive10_RTS_EE</t>
        </is>
      </c>
      <c r="B9" s="16" t="inlineStr">
        <is>
          <t>Scenario reflecting Prime Minister Directive 10/CT-TTg using annual RTS, BESS, DSM, and EE assumptions.</t>
        </is>
      </c>
    </row>
    <row r="10">
      <c r="A10" s="16" t="inlineStr">
        <is>
          <t>EE_PDP8_reference</t>
        </is>
      </c>
      <c r="B10" s="16" t="inlineStr">
        <is>
          <t>Energy-efficiency baseline sheet with annual sector EE savings, investments</t>
        </is>
      </c>
    </row>
    <row r="13" ht="30" customHeight="1" s="17">
      <c r="A13" s="11" t="inlineStr">
        <is>
          <t>How To Use</t>
        </is>
      </c>
      <c r="B13" s="8" t="inlineStr">
        <is>
          <t>Edit assumption series in the scenario sheets first. Use the DGE_* columns as export-ready proxy inputs for the current model framework.</t>
        </is>
      </c>
    </row>
    <row r="16">
      <c r="A16" t="inlineStr">
        <is>
          <t>PV data source</t>
        </is>
      </c>
      <c r="B16" t="inlineStr">
        <is>
          <t>A dedicated sheet named PV_Yield_Source documents the 2025 national-average rooftop PV coefficients used to set the physical RTS capacity factor in the scenario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zoomScale="160" zoomScaleNormal="160" workbookViewId="0">
      <selection activeCell="B6" sqref="B6"/>
    </sheetView>
  </sheetViews>
  <sheetFormatPr baseColWidth="8" defaultRowHeight="15"/>
  <cols>
    <col width="36.140625" customWidth="1" style="17" min="1" max="1"/>
    <col width="98.28515625" bestFit="1" customWidth="1" style="8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s="16" t="inlineStr">
        <is>
          <t>Policy_Mode</t>
        </is>
      </c>
      <c r="B2" s="16" t="inlineStr">
        <is>
          <t>Narrative tag for the scenario policy design.</t>
        </is>
      </c>
    </row>
    <row r="3">
      <c r="A3" s="16" t="inlineStr">
        <is>
          <t>RTS_Capacity_GW</t>
        </is>
      </c>
      <c r="B3" s="16" t="inlineStr">
        <is>
          <t>Installed rooftop solar capacity.</t>
        </is>
      </c>
    </row>
    <row r="4">
      <c r="A4" s="16" t="inlineStr">
        <is>
          <t>RTS_CapacityFactor</t>
        </is>
      </c>
      <c r="B4" s="16" t="inlineStr">
        <is>
          <t>Average annual rooftop solar capacity factor.</t>
        </is>
      </c>
    </row>
    <row r="5">
      <c r="A5" s="16" t="inlineStr">
        <is>
          <t>RTS_Generation_TWh</t>
        </is>
      </c>
      <c r="B5" s="16" t="inlineStr">
        <is>
          <t>Rooftop generation implied by capacity and CF.</t>
        </is>
      </c>
    </row>
    <row r="6">
      <c r="A6" s="16" t="inlineStr">
        <is>
          <t>PV_Integration_Gain_pct</t>
        </is>
      </c>
      <c r="B6" s="16" t="inlineStr">
        <is>
          <t>Additional usable PV output enabled by BESS and system integration.</t>
        </is>
      </c>
    </row>
    <row r="7">
      <c r="A7" s="16" t="inlineStr">
        <is>
          <t>PV_Capex_USD_per_kW</t>
        </is>
      </c>
      <c r="B7" s="16" t="inlineStr">
        <is>
          <t>Indicative rooftop PV investment cost.</t>
        </is>
      </c>
    </row>
    <row r="8">
      <c r="A8" s="16" t="inlineStr">
        <is>
          <t>PV_Annual_Investment_USDbn</t>
        </is>
      </c>
      <c r="B8" s="16" t="inlineStr">
        <is>
          <t>Approximate annual incremental PV investment.</t>
        </is>
      </c>
    </row>
    <row r="9">
      <c r="A9" s="16" t="inlineStr">
        <is>
          <t>BESS_Power_GW</t>
        </is>
      </c>
      <c r="B9" s="16" t="inlineStr">
        <is>
          <t>Installed battery discharge power.</t>
        </is>
      </c>
    </row>
    <row r="10">
      <c r="A10" s="16" t="inlineStr">
        <is>
          <t>BESS_Energy_GWh</t>
        </is>
      </c>
      <c r="B10" s="16" t="inlineStr">
        <is>
          <t>Installed battery energy volume.</t>
        </is>
      </c>
    </row>
    <row r="11">
      <c r="A11" s="16" t="inlineStr">
        <is>
          <t>BESS_Duration_h</t>
        </is>
      </c>
      <c r="B11" s="16" t="inlineStr">
        <is>
          <t>Average battery duration in hours.</t>
        </is>
      </c>
    </row>
    <row r="12">
      <c r="A12" s="16" t="inlineStr">
        <is>
          <t>BESS_RTE_pct</t>
        </is>
      </c>
      <c r="B12" s="16" t="inlineStr">
        <is>
          <t>Battery round-trip efficiency.</t>
        </is>
      </c>
    </row>
    <row r="13">
      <c r="A13" s="16" t="inlineStr">
        <is>
          <t>BESS_Capex_USD_per_kWh</t>
        </is>
      </c>
      <c r="B13" s="16" t="inlineStr">
        <is>
          <t>Indicative battery capex per energy unit.</t>
        </is>
      </c>
    </row>
    <row r="14">
      <c r="A14" s="16" t="inlineStr">
        <is>
          <t>BESS_Annual_Investment_USDbn</t>
        </is>
      </c>
      <c r="B14" s="16" t="inlineStr">
        <is>
          <t>Approximate annual incremental BESS investment.</t>
        </is>
      </c>
    </row>
    <row r="15">
      <c r="A15" s="16" t="inlineStr">
        <is>
          <t>Office_RTS_Penetration_pct</t>
        </is>
      </c>
      <c r="B15" s="16" t="inlineStr">
        <is>
          <t>Indicative cumulative share of office buildings with RTS.</t>
        </is>
      </c>
    </row>
    <row r="16">
      <c r="A16" s="16" t="inlineStr">
        <is>
          <t>Residential_RTS_Penetration_pct</t>
        </is>
      </c>
      <c r="B16" s="16" t="inlineStr">
        <is>
          <t>Indicative cumulative share of households with RTS.</t>
        </is>
      </c>
    </row>
    <row r="17">
      <c r="A17" s="16" t="inlineStr">
        <is>
          <t>EV_Bike_Share_pct</t>
        </is>
      </c>
      <c r="B17" s="16" t="inlineStr">
        <is>
          <t>Share of two-wheelers that are electric.</t>
        </is>
      </c>
    </row>
    <row r="18">
      <c r="A18" s="16" t="inlineStr">
        <is>
          <t>EV_Car_Share_pct</t>
        </is>
      </c>
      <c r="B18" s="16" t="inlineStr">
        <is>
          <t>Share of passenger cars that are electric.</t>
        </is>
      </c>
    </row>
    <row r="19">
      <c r="A19" s="16" t="inlineStr">
        <is>
          <t>EV_Bus_Share_pct</t>
        </is>
      </c>
      <c r="B19" s="16" t="inlineStr">
        <is>
          <t>Share of buses that are electric.</t>
        </is>
      </c>
    </row>
    <row r="20">
      <c r="A20" s="16" t="inlineStr">
        <is>
          <t>EV_Truck_Share_pct</t>
        </is>
      </c>
      <c r="B20" s="16" t="inlineStr">
        <is>
          <t>Share of trucks that are electric.</t>
        </is>
      </c>
    </row>
    <row r="21">
      <c r="A21" s="16" t="inlineStr">
        <is>
          <t>EV_Load_TWh</t>
        </is>
      </c>
      <c r="B21" s="16" t="inlineStr">
        <is>
          <t>Additional electricity demand from EV charging.</t>
        </is>
      </c>
    </row>
    <row r="22">
      <c r="A22" s="16" t="inlineStr">
        <is>
          <t>FUEL_Displaced_TWh</t>
        </is>
      </c>
      <c r="B22" s="16" t="inlineStr">
        <is>
          <t>Fossil fuel demand displaced by EVs.</t>
        </is>
      </c>
    </row>
    <row r="23">
      <c r="A23" s="16" t="inlineStr">
        <is>
          <t>Net_FinalEnergy_Saving_TWh</t>
        </is>
      </c>
      <c r="B23" s="16" t="inlineStr">
        <is>
          <t>Net final-energy reduction after electrification efficiency gains.</t>
        </is>
      </c>
    </row>
    <row r="24">
      <c r="A24" s="16" t="inlineStr">
        <is>
          <t>DSM_Electricity_Saving_pct</t>
        </is>
      </c>
      <c r="B24" s="16" t="inlineStr">
        <is>
          <t>Electricity saving from DSM/EE relative to counterfactual demand.</t>
        </is>
      </c>
    </row>
    <row r="25">
      <c r="A25" s="16" t="inlineStr">
        <is>
          <t>Peak_Load_Reduction_MW</t>
        </is>
      </c>
      <c r="B25" s="16" t="inlineStr">
        <is>
          <t>Peak demand reduction achieved by DSM/DR/BESS.</t>
        </is>
      </c>
    </row>
    <row r="26">
      <c r="A26" s="16" t="inlineStr">
        <is>
          <t>Public_Infra_Investment_USDbn</t>
        </is>
      </c>
      <c r="B26" s="16" t="inlineStr">
        <is>
          <t>Public or utility-enabled infrastructure support spending.</t>
        </is>
      </c>
    </row>
    <row r="27">
      <c r="A27" s="16" t="inlineStr">
        <is>
          <t>Emissions_Index_2026eq1</t>
        </is>
      </c>
      <c r="B27" s="16" t="inlineStr">
        <is>
          <t>Scenario emissions index normalized to 1 in 2026.</t>
        </is>
      </c>
    </row>
    <row r="28">
      <c r="A28" t="inlineStr">
        <is>
          <t>Industry_EE_Saving_pct</t>
        </is>
      </c>
      <c r="B28" s="8" t="inlineStr">
        <is>
          <t>Annual sector energy saving versus counterfactual for manufacturing/industry. 2030 target from note: 7.4%.</t>
        </is>
      </c>
    </row>
    <row r="29">
      <c r="A29" t="inlineStr">
        <is>
          <t>Services_EE_Saving_pct</t>
        </is>
      </c>
      <c r="B29" s="8" t="inlineStr">
        <is>
          <t>Annual sector energy saving versus counterfactual for services/commercial buildings. 2030 target: 5.1%.</t>
        </is>
      </c>
    </row>
    <row r="30">
      <c r="A30" t="inlineStr">
        <is>
          <t>Households_EE_Saving_pct</t>
        </is>
      </c>
      <c r="B30" s="8" t="inlineStr">
        <is>
          <t>Annual sector energy saving versus counterfactual for households/residential demand. 2030 target: 11.6%.</t>
        </is>
      </c>
    </row>
    <row r="31">
      <c r="A31" t="inlineStr">
        <is>
          <t>Agriculture_EE_Saving_pct</t>
        </is>
      </c>
      <c r="B31" s="8" t="inlineStr">
        <is>
          <t>Annual sector energy saving proxy for agriculture. Conservative 2030 anchor: 10%.</t>
        </is>
      </c>
    </row>
    <row r="32">
      <c r="A32" t="inlineStr">
        <is>
          <t>Industry_EE_Investment_USDm</t>
        </is>
      </c>
      <c r="B32" s="8" t="inlineStr">
        <is>
          <t>Annual industry EE investment. Note anchor: USD 210 million/year.</t>
        </is>
      </c>
    </row>
    <row r="33">
      <c r="A33" t="inlineStr">
        <is>
          <t>Services_EE_Investment_USDm</t>
        </is>
      </c>
      <c r="B33" s="8" t="inlineStr">
        <is>
          <t>Annual services/buildings EE investment. Note anchor: USD 47 million/year.</t>
        </is>
      </c>
    </row>
    <row r="34">
      <c r="A34" t="inlineStr">
        <is>
          <t>Households_EE_Investment_USDm</t>
        </is>
      </c>
      <c r="B34" s="8" t="inlineStr">
        <is>
          <t>Annual household EE investment. Note anchor: USD 104 million/year.</t>
        </is>
      </c>
    </row>
    <row r="35">
      <c r="A35" t="inlineStr">
        <is>
          <t>Agriculture_EE_Investment_USDm</t>
        </is>
      </c>
      <c r="B35" s="8" t="inlineStr">
        <is>
          <t>Annual agriculture EE investment proxy. Working anchor: USD 100 million/year.</t>
        </is>
      </c>
    </row>
    <row r="36">
      <c r="A36" t="inlineStr">
        <is>
          <t>Total_EE_Investment_USDm</t>
        </is>
      </c>
      <c r="B36" s="8" t="inlineStr">
        <is>
          <t>Sum of annual sector EE investment assumptions.</t>
        </is>
      </c>
    </row>
    <row r="37">
      <c r="A37" t="inlineStr">
        <is>
          <t>EE_Rebound_pct</t>
        </is>
      </c>
      <c r="B37" s="8" t="inlineStr">
        <is>
          <t>Share of direct engineering savings offset by higher output/activity.</t>
        </is>
      </c>
    </row>
    <row r="38">
      <c r="A38" t="inlineStr">
        <is>
          <t>Regional_EE_Index</t>
        </is>
      </c>
      <c r="B38" s="8" t="inlineStr">
        <is>
          <t>Composite regional energy-efficiency index used to discipline exo_EE_1.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 ht="18.75" customHeight="1" s="17">
      <c r="A1" s="13" t="inlineStr">
        <is>
          <t>Rooftop PV Yield Source Used For Workbook Calibration</t>
        </is>
      </c>
    </row>
    <row r="3">
      <c r="A3" s="14" t="inlineStr">
        <is>
          <t>Source file</t>
        </is>
      </c>
      <c r="B3" t="inlineStr">
        <is>
          <t>c:\Users\nb\Dropbox\2025_GIZ_Vietnam\Data\Experts\PV out for rooftop..xlsx</t>
        </is>
      </c>
    </row>
    <row r="4">
      <c r="A4" s="14" t="inlineStr">
        <is>
          <t>Source description</t>
        </is>
      </c>
      <c r="B4" t="inlineStr">
        <is>
          <t>THEORETICAL PVout COEFFICIENTS BY MONTH FOR YEAR 2025, unit kWh/kWp, using the national average row from the expert file.</t>
        </is>
      </c>
    </row>
    <row r="5">
      <c r="A5" s="14" t="inlineStr">
        <is>
          <t>National annual total</t>
        </is>
      </c>
      <c r="B5" t="n">
        <v>1240</v>
      </c>
      <c r="C5" t="inlineStr">
        <is>
          <t>kWh/kWp/year</t>
        </is>
      </c>
    </row>
    <row r="6">
      <c r="A6" s="14" t="inlineStr">
        <is>
          <t>National monthly average</t>
        </is>
      </c>
      <c r="B6" t="n">
        <v>103.3333333333333</v>
      </c>
      <c r="C6" t="inlineStr">
        <is>
          <t>kWh/kWp/month</t>
        </is>
      </c>
    </row>
    <row r="7">
      <c r="A7" s="14" t="inlineStr">
        <is>
          <t>Hours per year</t>
        </is>
      </c>
      <c r="B7" t="n">
        <v>8760</v>
      </c>
    </row>
    <row r="8">
      <c r="A8" s="14" t="inlineStr">
        <is>
          <t>Implied physical capacity factor</t>
        </is>
      </c>
      <c r="B8" t="n">
        <v>0.1415525114155251</v>
      </c>
      <c r="C8" t="inlineStr">
        <is>
          <t>Used to overwrite RTS_CapacityFactor in scenario sheets</t>
        </is>
      </c>
    </row>
    <row r="10" ht="75" customHeight="1" s="17">
      <c r="A10" s="15" t="inlineStr">
        <is>
          <t>Month</t>
        </is>
      </c>
      <c r="B10" s="15" t="inlineStr">
        <is>
          <t>National average PVout (kWh/kWp)</t>
        </is>
      </c>
      <c r="C10" s="15" t="inlineStr">
        <is>
          <t>Monthly implied CF</t>
        </is>
      </c>
    </row>
    <row r="11">
      <c r="A11" t="inlineStr">
        <is>
          <t xml:space="preserve">January </t>
        </is>
      </c>
      <c r="B11" t="n">
        <v>105.6</v>
      </c>
      <c r="C11" t="n">
        <v>0.144658</v>
      </c>
    </row>
    <row r="12">
      <c r="A12" t="inlineStr">
        <is>
          <t>February</t>
        </is>
      </c>
      <c r="B12" t="n">
        <v>77</v>
      </c>
      <c r="C12" t="n">
        <v>0.105479</v>
      </c>
    </row>
    <row r="13">
      <c r="A13" t="inlineStr">
        <is>
          <t>March</t>
        </is>
      </c>
      <c r="B13" t="n">
        <v>108.5</v>
      </c>
      <c r="C13" t="n">
        <v>0.14863</v>
      </c>
    </row>
    <row r="14">
      <c r="A14" t="inlineStr">
        <is>
          <t>April</t>
        </is>
      </c>
      <c r="B14" t="n">
        <v>117.5</v>
      </c>
      <c r="C14" t="n">
        <v>0.160959</v>
      </c>
    </row>
    <row r="15">
      <c r="A15" t="inlineStr">
        <is>
          <t>May</t>
        </is>
      </c>
      <c r="B15" t="n">
        <v>119.5</v>
      </c>
      <c r="C15" t="n">
        <v>0.163699</v>
      </c>
    </row>
    <row r="16">
      <c r="A16" t="inlineStr">
        <is>
          <t>June</t>
        </is>
      </c>
      <c r="B16" t="n">
        <v>109.8</v>
      </c>
      <c r="C16" t="n">
        <v>0.150411</v>
      </c>
    </row>
    <row r="17">
      <c r="A17" t="inlineStr">
        <is>
          <t>July</t>
        </is>
      </c>
      <c r="B17" t="n">
        <v>115.3</v>
      </c>
      <c r="C17" t="n">
        <v>0.157945</v>
      </c>
    </row>
    <row r="18">
      <c r="A18" t="inlineStr">
        <is>
          <t>August</t>
        </is>
      </c>
      <c r="B18" t="n">
        <v>111.9</v>
      </c>
      <c r="C18" t="n">
        <v>0.153288</v>
      </c>
    </row>
    <row r="19">
      <c r="A19" t="inlineStr">
        <is>
          <t>September</t>
        </is>
      </c>
      <c r="B19" t="n">
        <v>102.3</v>
      </c>
      <c r="C19" t="n">
        <v>0.140137</v>
      </c>
    </row>
    <row r="20">
      <c r="A20" t="inlineStr">
        <is>
          <t>October</t>
        </is>
      </c>
      <c r="B20" t="n">
        <v>98.8</v>
      </c>
      <c r="C20" t="n">
        <v>0.135342</v>
      </c>
    </row>
    <row r="21">
      <c r="A21" t="inlineStr">
        <is>
          <t>November</t>
        </is>
      </c>
      <c r="B21" t="n">
        <v>90.59999999999999</v>
      </c>
      <c r="C21" t="n">
        <v>0.12411</v>
      </c>
    </row>
    <row r="22">
      <c r="A22" t="inlineStr">
        <is>
          <t>December</t>
        </is>
      </c>
      <c r="B22" t="n">
        <v>83.2</v>
      </c>
      <c r="C22" t="n">
        <v>0.113973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04"/>
  <sheetViews>
    <sheetView workbookViewId="0">
      <pane ySplit="5" topLeftCell="A15" activePane="bottomLeft" state="frozen"/>
      <selection activeCell="B41" sqref="B41"/>
      <selection pane="bottomLeft" activeCell="AA31" sqref="AA31"/>
    </sheetView>
  </sheetViews>
  <sheetFormatPr baseColWidth="8" defaultRowHeight="15"/>
  <cols>
    <col width="16" customWidth="1" style="17" min="1" max="2"/>
    <col width="34" customWidth="1" style="17" min="3" max="3"/>
    <col width="16" customWidth="1" style="17" min="4" max="5"/>
    <col width="20" customWidth="1" style="17" min="6" max="6"/>
    <col width="16" customWidth="1" style="17" min="7" max="8"/>
    <col width="22" customWidth="1" style="17" min="9" max="9"/>
    <col width="16" customWidth="1" style="17" min="10" max="14"/>
    <col width="22" customWidth="1" style="17" min="15" max="15"/>
    <col width="20" customWidth="1" style="17" min="16" max="16"/>
    <col width="16" customWidth="1" style="17" min="17" max="26"/>
    <col width="22" customWidth="1" style="17" min="27" max="27"/>
    <col width="16" customWidth="1" style="17" min="28" max="36"/>
  </cols>
  <sheetData>
    <row r="1">
      <c r="A1" s="4" t="inlineStr">
        <is>
          <t>Scenario</t>
        </is>
      </c>
      <c r="B1" s="16" t="inlineStr">
        <is>
          <t>PDP8_revised</t>
        </is>
      </c>
    </row>
    <row r="2" ht="24" customHeight="1" s="17">
      <c r="A2" s="4" t="inlineStr">
        <is>
          <t>Policy note</t>
        </is>
      </c>
      <c r="B2" s="16" t="inlineStr">
        <is>
          <t>Emissions tax / official PDP8 reference</t>
        </is>
      </c>
    </row>
    <row r="3" ht="52.5" customHeight="1" s="17">
      <c r="A3" s="4" t="inlineStr">
        <is>
          <t>Editing note</t>
        </is>
      </c>
      <c r="B3" s="16" t="inlineStr">
        <is>
          <t xml:space="preserve">Edit expert assumption columns as needed. </t>
        </is>
      </c>
    </row>
    <row r="4">
      <c r="C4" t="n">
        <v>9.5</v>
      </c>
      <c r="D4" t="n">
        <v>0.14</v>
      </c>
      <c r="E4">
        <f>C4*D4*365*24</f>
        <v/>
      </c>
    </row>
    <row r="5" ht="30" customHeight="1" s="17">
      <c r="A5" s="3" t="inlineStr">
        <is>
          <t>Year</t>
        </is>
      </c>
      <c r="B5" s="3" t="inlineStr">
        <is>
          <t>Policy_Mode</t>
        </is>
      </c>
      <c r="C5" s="3" t="inlineStr">
        <is>
          <t>RTS_Capacity_GW</t>
        </is>
      </c>
      <c r="D5" s="3" t="inlineStr">
        <is>
          <t>RTS_CapacityFactor</t>
        </is>
      </c>
      <c r="E5" s="3" t="inlineStr">
        <is>
          <t>RTS_Generation_TWh</t>
        </is>
      </c>
      <c r="F5" s="3" t="inlineStr">
        <is>
          <t>PV_Integration_Gain_pct</t>
        </is>
      </c>
      <c r="G5" s="3" t="inlineStr">
        <is>
          <t>PV_Capex_USD_per_kW</t>
        </is>
      </c>
      <c r="H5" s="3" t="inlineStr">
        <is>
          <t>PV_Annual_Investment_USDbn</t>
        </is>
      </c>
      <c r="I5" s="3" t="inlineStr">
        <is>
          <t>BESS_Power_GW</t>
        </is>
      </c>
      <c r="J5" s="3" t="inlineStr">
        <is>
          <t>BESS_Energy_GWh</t>
        </is>
      </c>
      <c r="K5" s="3" t="inlineStr">
        <is>
          <t>BESS_Duration_h</t>
        </is>
      </c>
      <c r="L5" s="3" t="inlineStr">
        <is>
          <t>BESS_RTE_pct</t>
        </is>
      </c>
      <c r="M5" s="3" t="inlineStr">
        <is>
          <t>BESS_Capex_USD_per_kWh</t>
        </is>
      </c>
      <c r="N5" s="3" t="inlineStr">
        <is>
          <t>BESS_Annual_Investment_USDbn</t>
        </is>
      </c>
      <c r="O5" s="3" t="inlineStr">
        <is>
          <t>Office_RTS_Penetration_pct</t>
        </is>
      </c>
      <c r="P5" s="3" t="inlineStr">
        <is>
          <t>Residential_RTS_Penetration_pct</t>
        </is>
      </c>
      <c r="Q5" s="3" t="inlineStr">
        <is>
          <t>EV_Bike_Share_pct</t>
        </is>
      </c>
      <c r="R5" s="3" t="inlineStr">
        <is>
          <t>EV_Car_Share_pct</t>
        </is>
      </c>
      <c r="S5" s="3" t="inlineStr">
        <is>
          <t>EV_Bus_Share_pct</t>
        </is>
      </c>
      <c r="T5" s="3" t="inlineStr">
        <is>
          <t>EV_Truck_Share_pct</t>
        </is>
      </c>
      <c r="U5" s="3" t="inlineStr">
        <is>
          <t>EV_Load_TWh</t>
        </is>
      </c>
      <c r="V5" s="3" t="inlineStr">
        <is>
          <t>FUEL_Displaced_TWh</t>
        </is>
      </c>
      <c r="W5" s="3" t="inlineStr">
        <is>
          <t>Net_FinalEnergy_Saving_TWh</t>
        </is>
      </c>
      <c r="X5" s="3" t="inlineStr">
        <is>
          <t>DSM_Electricity_Saving_pct</t>
        </is>
      </c>
      <c r="Y5" s="3" t="inlineStr">
        <is>
          <t>Peak_Load_Reduction_MW</t>
        </is>
      </c>
      <c r="Z5" s="3" t="inlineStr">
        <is>
          <t>Public_Infra_Investment_USDbn</t>
        </is>
      </c>
      <c r="AA5" s="6" t="inlineStr">
        <is>
          <t>Industry_EE_Saving_pct</t>
        </is>
      </c>
      <c r="AB5" s="6" t="inlineStr">
        <is>
          <t>Services_EE_Saving_pct</t>
        </is>
      </c>
      <c r="AC5" s="6" t="inlineStr">
        <is>
          <t>Households_EE_Saving_pct</t>
        </is>
      </c>
      <c r="AD5" s="6" t="inlineStr">
        <is>
          <t>Agriculture_EE_Saving_pct</t>
        </is>
      </c>
      <c r="AE5" s="6" t="inlineStr">
        <is>
          <t>Industry_EE_Investment_USDm</t>
        </is>
      </c>
      <c r="AF5" s="6" t="inlineStr">
        <is>
          <t>Services_EE_Investment_USDm</t>
        </is>
      </c>
      <c r="AG5" s="6" t="inlineStr">
        <is>
          <t>Households_EE_Investment_USDm</t>
        </is>
      </c>
      <c r="AH5" s="6" t="inlineStr">
        <is>
          <t>Agriculture_EE_Investment_USDm</t>
        </is>
      </c>
      <c r="AI5" s="6" t="inlineStr">
        <is>
          <t>Total_EE_Investment_USDm</t>
        </is>
      </c>
    </row>
    <row r="6" ht="30" customHeight="1" s="17">
      <c r="A6" t="n">
        <v>2026</v>
      </c>
      <c r="B6" s="16" t="inlineStr">
        <is>
          <t>Emissions tax / official PDP8 reference</t>
        </is>
      </c>
      <c r="C6" t="n">
        <v>28.266</v>
      </c>
      <c r="D6" t="n">
        <v>0.141552511</v>
      </c>
      <c r="E6" t="n">
        <v>34.174</v>
      </c>
      <c r="F6" t="n">
        <v>0.5</v>
      </c>
      <c r="G6" t="n">
        <v>780</v>
      </c>
      <c r="H6" t="n">
        <v>1.95</v>
      </c>
      <c r="I6" t="n">
        <v>0.3</v>
      </c>
      <c r="J6" t="n">
        <v>1.2</v>
      </c>
      <c r="K6" t="n">
        <v>4</v>
      </c>
      <c r="L6" t="n">
        <v>85</v>
      </c>
      <c r="M6" t="n">
        <v>300</v>
      </c>
      <c r="N6" t="n">
        <v>0.12</v>
      </c>
      <c r="O6" t="n">
        <v>0.5</v>
      </c>
      <c r="P6" t="n">
        <v>0.3</v>
      </c>
      <c r="Q6" t="n">
        <v>0.5</v>
      </c>
      <c r="R6" t="n">
        <v>0.3</v>
      </c>
      <c r="S6" t="n">
        <v>0.5</v>
      </c>
      <c r="T6" t="n">
        <v>0</v>
      </c>
      <c r="U6" t="n">
        <v>0.5</v>
      </c>
      <c r="V6" t="n">
        <v>0.3</v>
      </c>
      <c r="W6" t="n">
        <v>0.1</v>
      </c>
      <c r="X6" t="n">
        <v>1</v>
      </c>
      <c r="Y6" t="n">
        <v>300</v>
      </c>
      <c r="Z6" t="n">
        <v>0.1</v>
      </c>
      <c r="AA6" t="n">
        <v>0.8</v>
      </c>
      <c r="AB6" t="n">
        <v>0.6</v>
      </c>
      <c r="AC6" t="n">
        <v>0.8</v>
      </c>
      <c r="AD6" t="n">
        <v>0.6</v>
      </c>
      <c r="AE6" t="n">
        <v>126</v>
      </c>
      <c r="AF6" t="n">
        <v>26.6</v>
      </c>
      <c r="AG6" t="n">
        <v>56</v>
      </c>
      <c r="AH6" t="n">
        <v>49</v>
      </c>
      <c r="AI6" t="n">
        <v>257.6</v>
      </c>
    </row>
    <row r="7" ht="30" customHeight="1" s="17">
      <c r="A7" t="n">
        <v>2027</v>
      </c>
      <c r="B7" s="16" t="inlineStr">
        <is>
          <t>Emissions tax / official PDP8 reference</t>
        </is>
      </c>
      <c r="C7" t="n">
        <v>30.178</v>
      </c>
      <c r="D7" t="n">
        <v>0.141552511</v>
      </c>
      <c r="E7" t="n">
        <v>36.569</v>
      </c>
      <c r="F7" t="n">
        <v>0.875</v>
      </c>
      <c r="G7" t="n">
        <v>760</v>
      </c>
      <c r="H7" t="n">
        <v>2.47</v>
      </c>
      <c r="I7" t="n">
        <v>0.725</v>
      </c>
      <c r="J7" t="n">
        <v>2.9</v>
      </c>
      <c r="K7" t="n">
        <v>4</v>
      </c>
      <c r="L7" t="n">
        <v>85.5</v>
      </c>
      <c r="M7" t="n">
        <v>280</v>
      </c>
      <c r="N7" t="n">
        <v>0.476</v>
      </c>
      <c r="O7" t="n">
        <v>1.125</v>
      </c>
      <c r="P7" t="n">
        <v>0.725</v>
      </c>
      <c r="U7" t="n">
        <v>1.125</v>
      </c>
      <c r="V7" t="n">
        <v>0.725</v>
      </c>
      <c r="W7" t="n">
        <v>0.2</v>
      </c>
      <c r="X7" t="n">
        <v>1.125</v>
      </c>
      <c r="Y7" t="n">
        <v>425</v>
      </c>
      <c r="Z7" t="n">
        <v>0.175</v>
      </c>
      <c r="AA7" t="n">
        <v>1.34</v>
      </c>
      <c r="AB7" t="n">
        <v>0.96</v>
      </c>
      <c r="AC7" t="n">
        <v>1.76</v>
      </c>
      <c r="AD7" t="n">
        <v>1.45</v>
      </c>
      <c r="AE7" t="n">
        <v>131.25</v>
      </c>
      <c r="AF7" t="n">
        <v>28.175</v>
      </c>
      <c r="AG7" t="n">
        <v>60.2</v>
      </c>
      <c r="AH7" t="n">
        <v>54.25</v>
      </c>
      <c r="AI7" t="n">
        <v>273.875</v>
      </c>
    </row>
    <row r="8" ht="30" customHeight="1" s="17">
      <c r="A8" t="n">
        <v>2028</v>
      </c>
      <c r="B8" s="16" t="inlineStr">
        <is>
          <t>Emissions tax / official PDP8 reference</t>
        </is>
      </c>
      <c r="C8" t="n">
        <v>32.22</v>
      </c>
      <c r="D8" t="n">
        <v>0.141552511</v>
      </c>
      <c r="E8" t="n">
        <v>39.135</v>
      </c>
      <c r="F8" t="n">
        <v>1.25</v>
      </c>
      <c r="G8" t="n">
        <v>740</v>
      </c>
      <c r="H8" t="n">
        <v>2.405</v>
      </c>
      <c r="I8" t="n">
        <v>1.15</v>
      </c>
      <c r="J8" t="n">
        <v>4.6</v>
      </c>
      <c r="K8" t="n">
        <v>4</v>
      </c>
      <c r="L8" t="n">
        <v>86</v>
      </c>
      <c r="M8" t="n">
        <v>260</v>
      </c>
      <c r="N8" t="n">
        <v>0.442</v>
      </c>
      <c r="O8" t="n">
        <v>1.75</v>
      </c>
      <c r="P8" t="n">
        <v>1.15</v>
      </c>
      <c r="U8" t="n">
        <v>1.75</v>
      </c>
      <c r="V8" t="n">
        <v>1.15</v>
      </c>
      <c r="W8" t="n">
        <v>0.3</v>
      </c>
      <c r="X8" t="n">
        <v>1.25</v>
      </c>
      <c r="Y8" t="n">
        <v>550</v>
      </c>
      <c r="Z8" t="n">
        <v>0.25</v>
      </c>
      <c r="AA8" t="n">
        <v>1.88</v>
      </c>
      <c r="AB8" t="n">
        <v>1.32</v>
      </c>
      <c r="AC8" t="n">
        <v>2.72</v>
      </c>
      <c r="AD8" t="n">
        <v>2.3</v>
      </c>
      <c r="AE8" t="n">
        <v>136.5</v>
      </c>
      <c r="AF8" t="n">
        <v>29.75</v>
      </c>
      <c r="AG8" t="n">
        <v>64.40000000000001</v>
      </c>
      <c r="AH8" t="n">
        <v>59.5</v>
      </c>
      <c r="AI8" t="n">
        <v>290.15</v>
      </c>
    </row>
    <row r="9" ht="30" customHeight="1" s="17">
      <c r="A9" t="n">
        <v>2029</v>
      </c>
      <c r="B9" s="16" t="inlineStr">
        <is>
          <t>Emissions tax / official PDP8 reference</t>
        </is>
      </c>
      <c r="C9" t="n">
        <v>34.402</v>
      </c>
      <c r="D9" t="n">
        <v>0.141552511</v>
      </c>
      <c r="E9" t="n">
        <v>41.883</v>
      </c>
      <c r="F9" t="n">
        <v>1.625</v>
      </c>
      <c r="G9" t="n">
        <v>720</v>
      </c>
      <c r="H9" t="n">
        <v>2.34</v>
      </c>
      <c r="I9" t="n">
        <v>1.575</v>
      </c>
      <c r="J9" t="n">
        <v>6.3</v>
      </c>
      <c r="K9" t="n">
        <v>4</v>
      </c>
      <c r="L9" t="n">
        <v>86.5</v>
      </c>
      <c r="M9" t="n">
        <v>240</v>
      </c>
      <c r="N9" t="n">
        <v>0.408</v>
      </c>
      <c r="O9" t="n">
        <v>2.375</v>
      </c>
      <c r="P9" t="n">
        <v>1.575</v>
      </c>
      <c r="U9" t="n">
        <v>2.375</v>
      </c>
      <c r="V9" t="n">
        <v>1.575</v>
      </c>
      <c r="W9" t="n">
        <v>0.4</v>
      </c>
      <c r="X9" t="n">
        <v>1.375</v>
      </c>
      <c r="Y9" t="n">
        <v>675</v>
      </c>
      <c r="Z9" t="n">
        <v>0.325</v>
      </c>
      <c r="AA9" t="n">
        <v>2.42</v>
      </c>
      <c r="AB9" t="n">
        <v>1.68</v>
      </c>
      <c r="AC9" t="n">
        <v>3.68</v>
      </c>
      <c r="AD9" t="n">
        <v>3.15</v>
      </c>
      <c r="AE9" t="n">
        <v>141.75</v>
      </c>
      <c r="AF9" t="n">
        <v>31.325</v>
      </c>
      <c r="AG9" t="n">
        <v>68.59999999999999</v>
      </c>
      <c r="AH9" t="n">
        <v>64.75</v>
      </c>
      <c r="AI9" t="n">
        <v>306.425</v>
      </c>
    </row>
    <row r="10" ht="30" customHeight="1" s="17">
      <c r="A10" t="n">
        <v>2030</v>
      </c>
      <c r="B10" s="16" t="inlineStr">
        <is>
          <t>Emissions tax / official PDP8 reference</t>
        </is>
      </c>
      <c r="C10" t="n">
        <v>36.733</v>
      </c>
      <c r="D10" t="n">
        <v>0.141552511</v>
      </c>
      <c r="E10" t="n">
        <v>44.827</v>
      </c>
      <c r="F10" t="n">
        <v>2</v>
      </c>
      <c r="G10" t="n">
        <v>700</v>
      </c>
      <c r="H10" t="n">
        <v>2.275</v>
      </c>
      <c r="I10" t="n">
        <v>2</v>
      </c>
      <c r="J10" t="n">
        <v>8</v>
      </c>
      <c r="K10" t="n">
        <v>4</v>
      </c>
      <c r="L10" t="n">
        <v>87</v>
      </c>
      <c r="M10" t="n">
        <v>220</v>
      </c>
      <c r="N10" t="n">
        <v>0.374</v>
      </c>
      <c r="O10" t="n">
        <v>50</v>
      </c>
      <c r="P10" t="n">
        <v>50</v>
      </c>
      <c r="U10" t="n">
        <v>3</v>
      </c>
      <c r="V10" t="n">
        <v>2</v>
      </c>
      <c r="W10" t="n">
        <v>0.5</v>
      </c>
      <c r="X10" t="n">
        <v>1.5</v>
      </c>
      <c r="Y10" t="n">
        <v>800</v>
      </c>
      <c r="Z10" t="n">
        <v>0.4</v>
      </c>
      <c r="AA10" t="n">
        <v>2.96</v>
      </c>
      <c r="AB10" t="n">
        <v>2.04</v>
      </c>
      <c r="AC10" t="n">
        <v>4.64</v>
      </c>
      <c r="AD10" t="n">
        <v>4</v>
      </c>
      <c r="AE10" t="n">
        <v>147</v>
      </c>
      <c r="AF10" t="n">
        <v>32.9</v>
      </c>
      <c r="AG10" t="n">
        <v>72.8</v>
      </c>
      <c r="AH10" t="n">
        <v>70</v>
      </c>
      <c r="AI10" t="n">
        <v>322.7</v>
      </c>
    </row>
    <row r="11" ht="30" customHeight="1" s="17">
      <c r="A11" t="n">
        <v>2031</v>
      </c>
      <c r="B11" s="16" t="inlineStr">
        <is>
          <t>Emissions tax / official PDP8 reference</t>
        </is>
      </c>
      <c r="C11" t="n">
        <v>39.224</v>
      </c>
      <c r="D11" t="n">
        <v>0.141552511</v>
      </c>
      <c r="E11" t="n">
        <v>47.981</v>
      </c>
      <c r="F11" t="n">
        <v>2.3</v>
      </c>
      <c r="G11" t="n">
        <v>690</v>
      </c>
      <c r="H11" t="n">
        <v>2.415</v>
      </c>
      <c r="I11" t="n">
        <v>2.6</v>
      </c>
      <c r="J11" t="n">
        <v>10.4</v>
      </c>
      <c r="K11" t="n">
        <v>4</v>
      </c>
      <c r="L11" t="n">
        <v>87.09999999999999</v>
      </c>
      <c r="M11" t="n">
        <v>214</v>
      </c>
      <c r="N11" t="n">
        <v>0.5135999999999999</v>
      </c>
      <c r="O11" t="n">
        <v>3.4</v>
      </c>
      <c r="P11" t="n">
        <v>2.4</v>
      </c>
      <c r="U11" t="n">
        <v>3.9</v>
      </c>
      <c r="V11" t="n">
        <v>2.8</v>
      </c>
      <c r="W11" t="n">
        <v>0.65</v>
      </c>
      <c r="X11" t="n">
        <v>1.55</v>
      </c>
      <c r="Y11" t="n">
        <v>870</v>
      </c>
      <c r="Z11" t="n">
        <v>0.42</v>
      </c>
      <c r="AA11" t="n">
        <v>3.024</v>
      </c>
      <c r="AB11" t="n">
        <v>2.084</v>
      </c>
      <c r="AC11" t="n">
        <v>4.696</v>
      </c>
      <c r="AD11" t="n">
        <v>4.04</v>
      </c>
      <c r="AE11" t="n">
        <v>148.05</v>
      </c>
      <c r="AF11" t="n">
        <v>33.25</v>
      </c>
      <c r="AG11" t="n">
        <v>73.36</v>
      </c>
      <c r="AH11" t="n">
        <v>70.56</v>
      </c>
      <c r="AI11" t="n">
        <v>325.22</v>
      </c>
    </row>
    <row r="12" ht="30" customHeight="1" s="17">
      <c r="A12" t="n">
        <v>2032</v>
      </c>
      <c r="B12" s="16" t="inlineStr">
        <is>
          <t>Emissions tax / official PDP8 reference</t>
        </is>
      </c>
      <c r="C12" t="n">
        <v>41.886</v>
      </c>
      <c r="D12" t="n">
        <v>0.141552511</v>
      </c>
      <c r="E12" t="n">
        <v>51.361</v>
      </c>
      <c r="F12" t="n">
        <v>2.6</v>
      </c>
      <c r="G12" t="n">
        <v>680</v>
      </c>
      <c r="H12" t="n">
        <v>2.38</v>
      </c>
      <c r="I12" t="n">
        <v>3.2</v>
      </c>
      <c r="J12" t="n">
        <v>12.8</v>
      </c>
      <c r="K12" t="n">
        <v>4</v>
      </c>
      <c r="L12" t="n">
        <v>87.2</v>
      </c>
      <c r="M12" t="n">
        <v>208</v>
      </c>
      <c r="N12" t="n">
        <v>0.4992</v>
      </c>
      <c r="O12" t="n">
        <v>3.8</v>
      </c>
      <c r="P12" t="n">
        <v>2.8</v>
      </c>
      <c r="U12" t="n">
        <v>4.8</v>
      </c>
      <c r="V12" t="n">
        <v>3.6</v>
      </c>
      <c r="W12" t="n">
        <v>0.8</v>
      </c>
      <c r="X12" t="n">
        <v>1.6</v>
      </c>
      <c r="Y12" t="n">
        <v>940</v>
      </c>
      <c r="Z12" t="n">
        <v>0.44</v>
      </c>
      <c r="AA12" t="n">
        <v>3.088</v>
      </c>
      <c r="AB12" t="n">
        <v>2.128</v>
      </c>
      <c r="AC12" t="n">
        <v>4.752</v>
      </c>
      <c r="AD12" t="n">
        <v>4.08</v>
      </c>
      <c r="AE12" t="n">
        <v>149.1</v>
      </c>
      <c r="AF12" t="n">
        <v>33.6</v>
      </c>
      <c r="AG12" t="n">
        <v>73.92</v>
      </c>
      <c r="AH12" t="n">
        <v>71.12</v>
      </c>
      <c r="AI12" t="n">
        <v>327.74</v>
      </c>
    </row>
    <row r="13" ht="30" customHeight="1" s="17">
      <c r="A13" t="n">
        <v>2033</v>
      </c>
      <c r="B13" s="16" t="inlineStr">
        <is>
          <t>Emissions tax / official PDP8 reference</t>
        </is>
      </c>
      <c r="C13" t="n">
        <v>44.731</v>
      </c>
      <c r="D13" t="n">
        <v>0.141552511</v>
      </c>
      <c r="E13" t="n">
        <v>54.983</v>
      </c>
      <c r="F13" t="n">
        <v>2.9</v>
      </c>
      <c r="G13" t="n">
        <v>670</v>
      </c>
      <c r="H13" t="n">
        <v>2.345</v>
      </c>
      <c r="I13" t="n">
        <v>3.8</v>
      </c>
      <c r="J13" t="n">
        <v>15.2</v>
      </c>
      <c r="K13" t="n">
        <v>4</v>
      </c>
      <c r="L13" t="n">
        <v>87.3</v>
      </c>
      <c r="M13" t="n">
        <v>202</v>
      </c>
      <c r="N13" t="n">
        <v>0.4848</v>
      </c>
      <c r="O13" t="n">
        <v>4.2</v>
      </c>
      <c r="P13" t="n">
        <v>3.2</v>
      </c>
      <c r="U13" t="n">
        <v>5.7</v>
      </c>
      <c r="V13" t="n">
        <v>4.4</v>
      </c>
      <c r="W13" t="n">
        <v>0.95</v>
      </c>
      <c r="X13" t="n">
        <v>1.65</v>
      </c>
      <c r="Y13" t="n">
        <v>1010</v>
      </c>
      <c r="Z13" t="n">
        <v>0.46</v>
      </c>
      <c r="AA13" t="n">
        <v>3.152</v>
      </c>
      <c r="AB13" t="n">
        <v>2.172</v>
      </c>
      <c r="AC13" t="n">
        <v>4.808</v>
      </c>
      <c r="AD13" t="n">
        <v>4.12</v>
      </c>
      <c r="AE13" t="n">
        <v>150.15</v>
      </c>
      <c r="AF13" t="n">
        <v>33.95</v>
      </c>
      <c r="AG13" t="n">
        <v>74.48</v>
      </c>
      <c r="AH13" t="n">
        <v>71.68000000000001</v>
      </c>
      <c r="AI13" t="n">
        <v>330.26</v>
      </c>
    </row>
    <row r="14" ht="30" customHeight="1" s="17">
      <c r="A14" t="n">
        <v>2034</v>
      </c>
      <c r="B14" s="16" t="inlineStr">
        <is>
          <t>Emissions tax / official PDP8 reference</t>
        </is>
      </c>
      <c r="C14" t="n">
        <v>47.771</v>
      </c>
      <c r="D14" t="n">
        <v>0.141552511</v>
      </c>
      <c r="E14" t="n">
        <v>58.864</v>
      </c>
      <c r="F14" t="n">
        <v>3.2</v>
      </c>
      <c r="G14" t="n">
        <v>660</v>
      </c>
      <c r="H14" t="n">
        <v>2.31</v>
      </c>
      <c r="I14" t="n">
        <v>4.4</v>
      </c>
      <c r="J14" t="n">
        <v>17.6</v>
      </c>
      <c r="K14" t="n">
        <v>4</v>
      </c>
      <c r="L14" t="n">
        <v>87.40000000000001</v>
      </c>
      <c r="M14" t="n">
        <v>196</v>
      </c>
      <c r="N14" t="n">
        <v>0.4704</v>
      </c>
      <c r="O14" t="n">
        <v>4.6</v>
      </c>
      <c r="P14" t="n">
        <v>3.6</v>
      </c>
      <c r="U14" t="n">
        <v>6.6</v>
      </c>
      <c r="V14" t="n">
        <v>5.2</v>
      </c>
      <c r="W14" t="n">
        <v>1.1</v>
      </c>
      <c r="X14" t="n">
        <v>1.7</v>
      </c>
      <c r="Y14" t="n">
        <v>1080</v>
      </c>
      <c r="Z14" t="n">
        <v>0.48</v>
      </c>
      <c r="AA14" t="n">
        <v>3.216</v>
      </c>
      <c r="AB14" t="n">
        <v>2.216</v>
      </c>
      <c r="AC14" t="n">
        <v>4.864</v>
      </c>
      <c r="AD14" t="n">
        <v>4.16</v>
      </c>
      <c r="AE14" t="n">
        <v>151.2</v>
      </c>
      <c r="AF14" t="n">
        <v>34.3</v>
      </c>
      <c r="AG14" t="n">
        <v>75.04000000000001</v>
      </c>
      <c r="AH14" t="n">
        <v>72.23999999999999</v>
      </c>
      <c r="AI14" t="n">
        <v>332.78</v>
      </c>
    </row>
    <row r="15" ht="30" customHeight="1" s="17">
      <c r="A15" t="n">
        <v>2035</v>
      </c>
      <c r="B15" s="16" t="inlineStr">
        <is>
          <t>Emissions tax / official PDP8 reference</t>
        </is>
      </c>
      <c r="C15" t="n">
        <v>51.021</v>
      </c>
      <c r="D15" t="n">
        <v>0.141552511</v>
      </c>
      <c r="E15" t="n">
        <v>63.024</v>
      </c>
      <c r="F15" t="n">
        <v>3.5</v>
      </c>
      <c r="G15" t="n">
        <v>650</v>
      </c>
      <c r="H15" t="n">
        <v>2.275</v>
      </c>
      <c r="I15" t="n">
        <v>5</v>
      </c>
      <c r="J15" t="n">
        <v>20</v>
      </c>
      <c r="K15" t="n">
        <v>4</v>
      </c>
      <c r="L15" t="n">
        <v>87.5</v>
      </c>
      <c r="M15" t="n">
        <v>190</v>
      </c>
      <c r="N15" t="n">
        <v>0.456</v>
      </c>
      <c r="O15" t="n">
        <v>5</v>
      </c>
      <c r="P15" t="n">
        <v>4</v>
      </c>
      <c r="U15" t="n">
        <v>7.5</v>
      </c>
      <c r="V15" t="n">
        <v>6</v>
      </c>
      <c r="W15" t="n">
        <v>1.25</v>
      </c>
      <c r="X15" t="n">
        <v>1.75</v>
      </c>
      <c r="Y15" t="n">
        <v>1150</v>
      </c>
      <c r="Z15" t="n">
        <v>0.5</v>
      </c>
      <c r="AA15" t="n">
        <v>3.28</v>
      </c>
      <c r="AB15" t="n">
        <v>2.26</v>
      </c>
      <c r="AC15" t="n">
        <v>4.92</v>
      </c>
      <c r="AD15" t="n">
        <v>4.2</v>
      </c>
      <c r="AE15" t="n">
        <v>152.25</v>
      </c>
      <c r="AF15" t="n">
        <v>34.65</v>
      </c>
      <c r="AG15" t="n">
        <v>75.59999999999999</v>
      </c>
      <c r="AH15" t="n">
        <v>72.8</v>
      </c>
      <c r="AI15" t="n">
        <v>335.3</v>
      </c>
    </row>
    <row r="16" ht="30" customHeight="1" s="17">
      <c r="A16" t="n">
        <v>2036</v>
      </c>
      <c r="B16" s="16" t="inlineStr">
        <is>
          <t>Emissions tax / official PDP8 reference</t>
        </is>
      </c>
      <c r="C16" t="n">
        <v>54.494</v>
      </c>
      <c r="D16" t="n">
        <v>0.141552511</v>
      </c>
      <c r="E16" t="n">
        <v>67.482</v>
      </c>
      <c r="F16" t="n">
        <v>3.8</v>
      </c>
      <c r="G16" t="n">
        <v>640</v>
      </c>
      <c r="H16" t="n">
        <v>2.24</v>
      </c>
      <c r="I16" t="n">
        <v>5.6</v>
      </c>
      <c r="J16" t="n">
        <v>22.4</v>
      </c>
      <c r="K16" t="n">
        <v>4</v>
      </c>
      <c r="L16" t="n">
        <v>87.59999999999999</v>
      </c>
      <c r="M16" t="n">
        <v>184</v>
      </c>
      <c r="N16" t="n">
        <v>0.4416</v>
      </c>
      <c r="O16" t="n">
        <v>5.4</v>
      </c>
      <c r="P16" t="n">
        <v>4.4</v>
      </c>
      <c r="U16" t="n">
        <v>8.4</v>
      </c>
      <c r="V16" t="n">
        <v>6.8</v>
      </c>
      <c r="W16" t="n">
        <v>1.4</v>
      </c>
      <c r="X16" t="n">
        <v>1.8</v>
      </c>
      <c r="Y16" t="n">
        <v>1220</v>
      </c>
      <c r="Z16" t="n">
        <v>0.52</v>
      </c>
      <c r="AA16" t="n">
        <v>3.344</v>
      </c>
      <c r="AB16" t="n">
        <v>2.304</v>
      </c>
      <c r="AC16" t="n">
        <v>4.976</v>
      </c>
      <c r="AD16" t="n">
        <v>4.24</v>
      </c>
      <c r="AE16" t="n">
        <v>153.3</v>
      </c>
      <c r="AF16" t="n">
        <v>35</v>
      </c>
      <c r="AG16" t="n">
        <v>76.16</v>
      </c>
      <c r="AH16" t="n">
        <v>73.36</v>
      </c>
      <c r="AI16" t="n">
        <v>337.82</v>
      </c>
    </row>
    <row r="17" ht="30" customHeight="1" s="17">
      <c r="A17" t="n">
        <v>2037</v>
      </c>
      <c r="B17" s="16" t="inlineStr">
        <is>
          <t>Emissions tax / official PDP8 reference</t>
        </is>
      </c>
      <c r="C17" t="n">
        <v>58.206</v>
      </c>
      <c r="D17" t="n">
        <v>0.141552511</v>
      </c>
      <c r="E17" t="n">
        <v>72.26000000000001</v>
      </c>
      <c r="F17" t="n">
        <v>4.1</v>
      </c>
      <c r="G17" t="n">
        <v>630</v>
      </c>
      <c r="H17" t="n">
        <v>2.205</v>
      </c>
      <c r="I17" t="n">
        <v>6.2</v>
      </c>
      <c r="J17" t="n">
        <v>24.8</v>
      </c>
      <c r="K17" t="n">
        <v>4</v>
      </c>
      <c r="L17" t="n">
        <v>87.7</v>
      </c>
      <c r="M17" t="n">
        <v>178</v>
      </c>
      <c r="N17" t="n">
        <v>0.4272</v>
      </c>
      <c r="O17" t="n">
        <v>5.8</v>
      </c>
      <c r="P17" t="n">
        <v>4.8</v>
      </c>
      <c r="U17" t="n">
        <v>9.300000000000001</v>
      </c>
      <c r="V17" t="n">
        <v>7.6</v>
      </c>
      <c r="W17" t="n">
        <v>1.55</v>
      </c>
      <c r="X17" t="n">
        <v>1.85</v>
      </c>
      <c r="Y17" t="n">
        <v>1290</v>
      </c>
      <c r="Z17" t="n">
        <v>0.54</v>
      </c>
      <c r="AA17" t="n">
        <v>3.408</v>
      </c>
      <c r="AB17" t="n">
        <v>2.348</v>
      </c>
      <c r="AC17" t="n">
        <v>5.032</v>
      </c>
      <c r="AD17" t="n">
        <v>4.28</v>
      </c>
      <c r="AE17" t="n">
        <v>154.35</v>
      </c>
      <c r="AF17" t="n">
        <v>35.35</v>
      </c>
      <c r="AG17" t="n">
        <v>76.72</v>
      </c>
      <c r="AH17" t="n">
        <v>73.92</v>
      </c>
      <c r="AI17" t="n">
        <v>340.34</v>
      </c>
    </row>
    <row r="18" ht="30" customHeight="1" s="17">
      <c r="A18" t="n">
        <v>2038</v>
      </c>
      <c r="B18" s="16" t="inlineStr">
        <is>
          <t>Emissions tax / official PDP8 reference</t>
        </is>
      </c>
      <c r="C18" t="n">
        <v>62.173</v>
      </c>
      <c r="D18" t="n">
        <v>0.141552511</v>
      </c>
      <c r="E18" t="n">
        <v>77.381</v>
      </c>
      <c r="F18" t="n">
        <v>4.4</v>
      </c>
      <c r="G18" t="n">
        <v>620</v>
      </c>
      <c r="H18" t="n">
        <v>2.17</v>
      </c>
      <c r="I18" t="n">
        <v>6.8</v>
      </c>
      <c r="J18" t="n">
        <v>27.2</v>
      </c>
      <c r="K18" t="n">
        <v>4</v>
      </c>
      <c r="L18" t="n">
        <v>87.8</v>
      </c>
      <c r="M18" t="n">
        <v>172</v>
      </c>
      <c r="N18" t="n">
        <v>0.4128</v>
      </c>
      <c r="O18" t="n">
        <v>6.2</v>
      </c>
      <c r="P18" t="n">
        <v>5.2</v>
      </c>
      <c r="U18" t="n">
        <v>10.2</v>
      </c>
      <c r="V18" t="n">
        <v>8.4</v>
      </c>
      <c r="W18" t="n">
        <v>1.7</v>
      </c>
      <c r="X18" t="n">
        <v>1.9</v>
      </c>
      <c r="Y18" t="n">
        <v>1360</v>
      </c>
      <c r="Z18" t="n">
        <v>0.5600000000000001</v>
      </c>
      <c r="AA18" t="n">
        <v>3.472</v>
      </c>
      <c r="AB18" t="n">
        <v>2.392</v>
      </c>
      <c r="AC18" t="n">
        <v>5.088</v>
      </c>
      <c r="AD18" t="n">
        <v>4.32</v>
      </c>
      <c r="AE18" t="n">
        <v>155.4</v>
      </c>
      <c r="AF18" t="n">
        <v>35.7</v>
      </c>
      <c r="AG18" t="n">
        <v>77.28</v>
      </c>
      <c r="AH18" t="n">
        <v>74.48</v>
      </c>
      <c r="AI18" t="n">
        <v>342.86</v>
      </c>
    </row>
    <row r="19" ht="30" customHeight="1" s="17">
      <c r="A19" t="n">
        <v>2039</v>
      </c>
      <c r="B19" s="16" t="inlineStr">
        <is>
          <t>Emissions tax / official PDP8 reference</t>
        </is>
      </c>
      <c r="C19" t="n">
        <v>66.41500000000001</v>
      </c>
      <c r="D19" t="n">
        <v>0.141552511</v>
      </c>
      <c r="E19" t="n">
        <v>82.872</v>
      </c>
      <c r="F19" t="n">
        <v>4.7</v>
      </c>
      <c r="G19" t="n">
        <v>610</v>
      </c>
      <c r="H19" t="n">
        <v>2.135</v>
      </c>
      <c r="I19" t="n">
        <v>7.4</v>
      </c>
      <c r="J19" t="n">
        <v>29.6</v>
      </c>
      <c r="K19" t="n">
        <v>4</v>
      </c>
      <c r="L19" t="n">
        <v>87.90000000000001</v>
      </c>
      <c r="M19" t="n">
        <v>166</v>
      </c>
      <c r="N19" t="n">
        <v>0.3984</v>
      </c>
      <c r="O19" t="n">
        <v>6.6</v>
      </c>
      <c r="P19" t="n">
        <v>5.6</v>
      </c>
      <c r="U19" t="n">
        <v>11.1</v>
      </c>
      <c r="V19" t="n">
        <v>9.199999999999999</v>
      </c>
      <c r="W19" t="n">
        <v>1.85</v>
      </c>
      <c r="X19" t="n">
        <v>1.95</v>
      </c>
      <c r="Y19" t="n">
        <v>1430</v>
      </c>
      <c r="Z19" t="n">
        <v>0.58</v>
      </c>
      <c r="AA19" t="n">
        <v>3.536</v>
      </c>
      <c r="AB19" t="n">
        <v>2.436</v>
      </c>
      <c r="AC19" t="n">
        <v>5.144</v>
      </c>
      <c r="AD19" t="n">
        <v>4.36</v>
      </c>
      <c r="AE19" t="n">
        <v>156.45</v>
      </c>
      <c r="AF19" t="n">
        <v>36.05</v>
      </c>
      <c r="AG19" t="n">
        <v>77.84</v>
      </c>
      <c r="AH19" t="n">
        <v>75.04000000000001</v>
      </c>
      <c r="AI19" t="n">
        <v>345.38</v>
      </c>
    </row>
    <row r="20" ht="30" customHeight="1" s="17">
      <c r="A20" t="n">
        <v>2040</v>
      </c>
      <c r="B20" s="16" t="inlineStr">
        <is>
          <t>Emissions tax / official PDP8 reference</t>
        </is>
      </c>
      <c r="C20" t="n">
        <v>70.94799999999999</v>
      </c>
      <c r="D20" t="n">
        <v>0.141552511</v>
      </c>
      <c r="E20" t="n">
        <v>88.758</v>
      </c>
      <c r="F20" t="n">
        <v>5</v>
      </c>
      <c r="G20" t="n">
        <v>600</v>
      </c>
      <c r="H20" t="n">
        <v>2.1</v>
      </c>
      <c r="I20" t="n">
        <v>8</v>
      </c>
      <c r="J20" t="n">
        <v>32</v>
      </c>
      <c r="K20" t="n">
        <v>4</v>
      </c>
      <c r="L20" t="n">
        <v>88</v>
      </c>
      <c r="M20" t="n">
        <v>160</v>
      </c>
      <c r="N20" t="n">
        <v>0.384</v>
      </c>
      <c r="O20" t="n">
        <v>7</v>
      </c>
      <c r="P20" t="n">
        <v>6</v>
      </c>
      <c r="U20" t="n">
        <v>12</v>
      </c>
      <c r="V20" t="n">
        <v>10</v>
      </c>
      <c r="W20" t="n">
        <v>2</v>
      </c>
      <c r="X20" t="n">
        <v>2</v>
      </c>
      <c r="Y20" t="n">
        <v>1500</v>
      </c>
      <c r="Z20" t="n">
        <v>0.6</v>
      </c>
      <c r="AA20" t="n">
        <v>3.6</v>
      </c>
      <c r="AB20" t="n">
        <v>2.48</v>
      </c>
      <c r="AC20" t="n">
        <v>5.2</v>
      </c>
      <c r="AD20" t="n">
        <v>4.4</v>
      </c>
      <c r="AE20" t="n">
        <v>157.5</v>
      </c>
      <c r="AF20" t="n">
        <v>36.4</v>
      </c>
      <c r="AG20" t="n">
        <v>78.40000000000001</v>
      </c>
      <c r="AH20" t="n">
        <v>75.59999999999999</v>
      </c>
      <c r="AI20" t="n">
        <v>347.9</v>
      </c>
    </row>
    <row r="21" ht="30" customHeight="1" s="17">
      <c r="A21" t="n">
        <v>2041</v>
      </c>
      <c r="B21" s="16" t="inlineStr">
        <is>
          <t>Emissions tax / official PDP8 reference</t>
        </is>
      </c>
      <c r="C21" t="n">
        <v>75.795</v>
      </c>
      <c r="D21" t="n">
        <v>0.141552511</v>
      </c>
      <c r="E21" t="n">
        <v>95.068</v>
      </c>
      <c r="F21" t="n">
        <v>5.3</v>
      </c>
      <c r="G21" t="n">
        <v>592</v>
      </c>
      <c r="H21" t="n">
        <v>2.072</v>
      </c>
      <c r="I21" t="n">
        <v>9</v>
      </c>
      <c r="J21" t="n">
        <v>36</v>
      </c>
      <c r="K21" t="n">
        <v>4</v>
      </c>
      <c r="L21" t="n">
        <v>88.09999999999999</v>
      </c>
      <c r="M21" t="n">
        <v>157</v>
      </c>
      <c r="N21" t="n">
        <v>0.628</v>
      </c>
      <c r="O21" t="n">
        <v>7.5</v>
      </c>
      <c r="P21" t="n">
        <v>6.4</v>
      </c>
      <c r="U21" t="n">
        <v>13.6</v>
      </c>
      <c r="V21" t="n">
        <v>11.5</v>
      </c>
      <c r="W21" t="n">
        <v>2.3</v>
      </c>
      <c r="X21" t="n">
        <v>2.05</v>
      </c>
      <c r="Y21" t="n">
        <v>1550</v>
      </c>
      <c r="Z21" t="n">
        <v>0.59</v>
      </c>
      <c r="AA21" t="n">
        <v>3.64</v>
      </c>
      <c r="AB21" t="n">
        <v>2.512</v>
      </c>
      <c r="AC21" t="n">
        <v>5.24</v>
      </c>
      <c r="AD21" t="n">
        <v>4.44</v>
      </c>
      <c r="AE21" t="n">
        <v>157.85</v>
      </c>
      <c r="AF21" t="n">
        <v>36.61</v>
      </c>
      <c r="AG21" t="n">
        <v>78.81999999999999</v>
      </c>
      <c r="AH21" t="n">
        <v>75.88</v>
      </c>
      <c r="AI21" t="n">
        <v>349.16</v>
      </c>
    </row>
    <row r="22" ht="30" customHeight="1" s="17">
      <c r="A22" t="n">
        <v>2042</v>
      </c>
      <c r="B22" s="16" t="inlineStr">
        <is>
          <t>Emissions tax / official PDP8 reference</t>
        </is>
      </c>
      <c r="C22" t="n">
        <v>80.977</v>
      </c>
      <c r="D22" t="n">
        <v>0.141552511</v>
      </c>
      <c r="E22" t="n">
        <v>101.834</v>
      </c>
      <c r="F22" t="n">
        <v>5.6</v>
      </c>
      <c r="G22" t="n">
        <v>584</v>
      </c>
      <c r="H22" t="n">
        <v>2.044</v>
      </c>
      <c r="I22" t="n">
        <v>10</v>
      </c>
      <c r="J22" t="n">
        <v>40</v>
      </c>
      <c r="K22" t="n">
        <v>4</v>
      </c>
      <c r="L22" t="n">
        <v>88.2</v>
      </c>
      <c r="M22" t="n">
        <v>154</v>
      </c>
      <c r="N22" t="n">
        <v>0.616</v>
      </c>
      <c r="O22" t="n">
        <v>8</v>
      </c>
      <c r="P22" t="n">
        <v>6.8</v>
      </c>
      <c r="U22" t="n">
        <v>15.2</v>
      </c>
      <c r="V22" t="n">
        <v>13</v>
      </c>
      <c r="W22" t="n">
        <v>2.6</v>
      </c>
      <c r="X22" t="n">
        <v>2.1</v>
      </c>
      <c r="Y22" t="n">
        <v>1600</v>
      </c>
      <c r="Z22" t="n">
        <v>0.58</v>
      </c>
      <c r="AA22" t="n">
        <v>3.68</v>
      </c>
      <c r="AB22" t="n">
        <v>2.544</v>
      </c>
      <c r="AC22" t="n">
        <v>5.28</v>
      </c>
      <c r="AD22" t="n">
        <v>4.48</v>
      </c>
      <c r="AE22" t="n">
        <v>158.2</v>
      </c>
      <c r="AF22" t="n">
        <v>36.82</v>
      </c>
      <c r="AG22" t="n">
        <v>79.23999999999999</v>
      </c>
      <c r="AH22" t="n">
        <v>76.16</v>
      </c>
      <c r="AI22" t="n">
        <v>350.42</v>
      </c>
    </row>
    <row r="23" ht="30" customHeight="1" s="17">
      <c r="A23" t="n">
        <v>2043</v>
      </c>
      <c r="B23" s="16" t="inlineStr">
        <is>
          <t>Emissions tax / official PDP8 reference</t>
        </is>
      </c>
      <c r="C23" t="n">
        <v>86.517</v>
      </c>
      <c r="D23" t="n">
        <v>0.141552511</v>
      </c>
      <c r="E23" t="n">
        <v>109.089</v>
      </c>
      <c r="F23" t="n">
        <v>5.9</v>
      </c>
      <c r="G23" t="n">
        <v>576</v>
      </c>
      <c r="H23" t="n">
        <v>2.016</v>
      </c>
      <c r="I23" t="n">
        <v>11</v>
      </c>
      <c r="J23" t="n">
        <v>44</v>
      </c>
      <c r="K23" t="n">
        <v>4</v>
      </c>
      <c r="L23" t="n">
        <v>88.3</v>
      </c>
      <c r="M23" t="n">
        <v>151</v>
      </c>
      <c r="N23" t="n">
        <v>0.604</v>
      </c>
      <c r="O23" t="n">
        <v>8.5</v>
      </c>
      <c r="P23" t="n">
        <v>7.2</v>
      </c>
      <c r="U23" t="n">
        <v>16.8</v>
      </c>
      <c r="V23" t="n">
        <v>14.5</v>
      </c>
      <c r="W23" t="n">
        <v>2.9</v>
      </c>
      <c r="X23" t="n">
        <v>2.15</v>
      </c>
      <c r="Y23" t="n">
        <v>1650</v>
      </c>
      <c r="Z23" t="n">
        <v>0.57</v>
      </c>
      <c r="AA23" t="n">
        <v>3.72</v>
      </c>
      <c r="AB23" t="n">
        <v>2.576</v>
      </c>
      <c r="AC23" t="n">
        <v>5.32</v>
      </c>
      <c r="AD23" t="n">
        <v>4.52</v>
      </c>
      <c r="AE23" t="n">
        <v>158.55</v>
      </c>
      <c r="AF23" t="n">
        <v>37.03</v>
      </c>
      <c r="AG23" t="n">
        <v>79.66</v>
      </c>
      <c r="AH23" t="n">
        <v>76.44</v>
      </c>
      <c r="AI23" t="n">
        <v>351.68</v>
      </c>
    </row>
    <row r="24" ht="30" customHeight="1" s="17">
      <c r="A24" t="n">
        <v>2044</v>
      </c>
      <c r="B24" s="16" t="inlineStr">
        <is>
          <t>Emissions tax / official PDP8 reference</t>
        </is>
      </c>
      <c r="C24" t="n">
        <v>92.44</v>
      </c>
      <c r="D24" t="n">
        <v>0.141552511</v>
      </c>
      <c r="E24" t="n">
        <v>116.869</v>
      </c>
      <c r="F24" t="n">
        <v>6.2</v>
      </c>
      <c r="G24" t="n">
        <v>568</v>
      </c>
      <c r="H24" t="n">
        <v>1.988</v>
      </c>
      <c r="I24" t="n">
        <v>12</v>
      </c>
      <c r="J24" t="n">
        <v>48</v>
      </c>
      <c r="K24" t="n">
        <v>4</v>
      </c>
      <c r="L24" t="n">
        <v>88.40000000000001</v>
      </c>
      <c r="M24" t="n">
        <v>148</v>
      </c>
      <c r="N24" t="n">
        <v>0.592</v>
      </c>
      <c r="O24" t="n">
        <v>9</v>
      </c>
      <c r="P24" t="n">
        <v>7.6</v>
      </c>
      <c r="U24" t="n">
        <v>18.4</v>
      </c>
      <c r="V24" t="n">
        <v>16</v>
      </c>
      <c r="W24" t="n">
        <v>3.2</v>
      </c>
      <c r="X24" t="n">
        <v>2.2</v>
      </c>
      <c r="Y24" t="n">
        <v>1700</v>
      </c>
      <c r="Z24" t="n">
        <v>0.5600000000000001</v>
      </c>
      <c r="AA24" t="n">
        <v>3.76</v>
      </c>
      <c r="AB24" t="n">
        <v>2.608</v>
      </c>
      <c r="AC24" t="n">
        <v>5.36</v>
      </c>
      <c r="AD24" t="n">
        <v>4.56</v>
      </c>
      <c r="AE24" t="n">
        <v>158.9</v>
      </c>
      <c r="AF24" t="n">
        <v>37.24</v>
      </c>
      <c r="AG24" t="n">
        <v>80.08</v>
      </c>
      <c r="AH24" t="n">
        <v>76.72</v>
      </c>
      <c r="AI24" t="n">
        <v>352.94</v>
      </c>
    </row>
    <row r="25" ht="30" customHeight="1" s="17">
      <c r="A25" t="n">
        <v>2045</v>
      </c>
      <c r="B25" s="16" t="inlineStr">
        <is>
          <t>Emissions tax / official PDP8 reference</t>
        </is>
      </c>
      <c r="C25" t="n">
        <v>98.774</v>
      </c>
      <c r="D25" t="n">
        <v>0.141552511</v>
      </c>
      <c r="E25" t="n">
        <v>125.212</v>
      </c>
      <c r="F25" t="n">
        <v>6.5</v>
      </c>
      <c r="G25" t="n">
        <v>560</v>
      </c>
      <c r="H25" t="n">
        <v>1.96</v>
      </c>
      <c r="I25" t="n">
        <v>13</v>
      </c>
      <c r="J25" t="n">
        <v>52</v>
      </c>
      <c r="K25" t="n">
        <v>4</v>
      </c>
      <c r="L25" t="n">
        <v>88.5</v>
      </c>
      <c r="M25" t="n">
        <v>145</v>
      </c>
      <c r="N25" t="n">
        <v>0.58</v>
      </c>
      <c r="O25" t="n">
        <v>9.5</v>
      </c>
      <c r="P25" t="n">
        <v>8</v>
      </c>
      <c r="U25" t="n">
        <v>20</v>
      </c>
      <c r="V25" t="n">
        <v>17.5</v>
      </c>
      <c r="W25" t="n">
        <v>3.5</v>
      </c>
      <c r="X25" t="n">
        <v>2.25</v>
      </c>
      <c r="Y25" t="n">
        <v>1750</v>
      </c>
      <c r="Z25" t="n">
        <v>0.55</v>
      </c>
      <c r="AA25" t="n">
        <v>3.8</v>
      </c>
      <c r="AB25" t="n">
        <v>2.64</v>
      </c>
      <c r="AC25" t="n">
        <v>5.4</v>
      </c>
      <c r="AD25" t="n">
        <v>4.6</v>
      </c>
      <c r="AE25" t="n">
        <v>159.25</v>
      </c>
      <c r="AF25" t="n">
        <v>37.45</v>
      </c>
      <c r="AG25" t="n">
        <v>80.5</v>
      </c>
      <c r="AH25" t="n">
        <v>77</v>
      </c>
      <c r="AI25" t="n">
        <v>354.2</v>
      </c>
    </row>
    <row r="26" ht="30" customHeight="1" s="17">
      <c r="A26" t="n">
        <v>2046</v>
      </c>
      <c r="B26" s="16" t="inlineStr">
        <is>
          <t>Emissions tax / official PDP8 reference</t>
        </is>
      </c>
      <c r="C26" t="n">
        <v>105.546</v>
      </c>
      <c r="D26" t="n">
        <v>0.141552511</v>
      </c>
      <c r="E26" t="n">
        <v>134.159</v>
      </c>
      <c r="F26" t="n">
        <v>6.8</v>
      </c>
      <c r="G26" t="n">
        <v>552</v>
      </c>
      <c r="H26" t="n">
        <v>1.932</v>
      </c>
      <c r="I26" t="n">
        <v>14</v>
      </c>
      <c r="J26" t="n">
        <v>56</v>
      </c>
      <c r="K26" t="n">
        <v>4</v>
      </c>
      <c r="L26" t="n">
        <v>88.59999999999999</v>
      </c>
      <c r="M26" t="n">
        <v>142</v>
      </c>
      <c r="N26" t="n">
        <v>0.5679999999999999</v>
      </c>
      <c r="O26" t="n">
        <v>10</v>
      </c>
      <c r="P26" t="n">
        <v>8.4</v>
      </c>
      <c r="U26" t="n">
        <v>21.6</v>
      </c>
      <c r="V26" t="n">
        <v>19</v>
      </c>
      <c r="W26" t="n">
        <v>3.8</v>
      </c>
      <c r="X26" t="n">
        <v>2.3</v>
      </c>
      <c r="Y26" t="n">
        <v>1800</v>
      </c>
      <c r="Z26" t="n">
        <v>0.54</v>
      </c>
      <c r="AA26" t="n">
        <v>3.84</v>
      </c>
      <c r="AB26" t="n">
        <v>2.672</v>
      </c>
      <c r="AC26" t="n">
        <v>5.44</v>
      </c>
      <c r="AD26" t="n">
        <v>4.64</v>
      </c>
      <c r="AE26" t="n">
        <v>159.6</v>
      </c>
      <c r="AF26" t="n">
        <v>37.66</v>
      </c>
      <c r="AG26" t="n">
        <v>80.92</v>
      </c>
      <c r="AH26" t="n">
        <v>77.28</v>
      </c>
      <c r="AI26" t="n">
        <v>355.46</v>
      </c>
    </row>
    <row r="27" ht="30" customHeight="1" s="17">
      <c r="A27" t="n">
        <v>2047</v>
      </c>
      <c r="B27" s="16" t="inlineStr">
        <is>
          <t>Emissions tax / official PDP8 reference</t>
        </is>
      </c>
      <c r="C27" t="n">
        <v>112.787</v>
      </c>
      <c r="D27" t="n">
        <v>0.141552511</v>
      </c>
      <c r="E27" t="n">
        <v>143.756</v>
      </c>
      <c r="F27" t="n">
        <v>7.1</v>
      </c>
      <c r="G27" t="n">
        <v>544</v>
      </c>
      <c r="H27" t="n">
        <v>1.904</v>
      </c>
      <c r="I27" t="n">
        <v>15</v>
      </c>
      <c r="J27" t="n">
        <v>60</v>
      </c>
      <c r="K27" t="n">
        <v>4</v>
      </c>
      <c r="L27" t="n">
        <v>88.7</v>
      </c>
      <c r="M27" t="n">
        <v>139</v>
      </c>
      <c r="N27" t="n">
        <v>0.556</v>
      </c>
      <c r="O27" t="n">
        <v>10.5</v>
      </c>
      <c r="P27" t="n">
        <v>8.800000000000001</v>
      </c>
      <c r="U27" t="n">
        <v>23.2</v>
      </c>
      <c r="V27" t="n">
        <v>20.5</v>
      </c>
      <c r="W27" t="n">
        <v>4.1</v>
      </c>
      <c r="X27" t="n">
        <v>2.35</v>
      </c>
      <c r="Y27" t="n">
        <v>1850</v>
      </c>
      <c r="Z27" t="n">
        <v>0.53</v>
      </c>
      <c r="AA27" t="n">
        <v>3.88</v>
      </c>
      <c r="AB27" t="n">
        <v>2.704</v>
      </c>
      <c r="AC27" t="n">
        <v>5.48</v>
      </c>
      <c r="AD27" t="n">
        <v>4.68</v>
      </c>
      <c r="AE27" t="n">
        <v>159.95</v>
      </c>
      <c r="AF27" t="n">
        <v>37.87</v>
      </c>
      <c r="AG27" t="n">
        <v>81.34</v>
      </c>
      <c r="AH27" t="n">
        <v>77.56</v>
      </c>
      <c r="AI27" t="n">
        <v>356.72</v>
      </c>
    </row>
    <row r="28" ht="30" customHeight="1" s="17">
      <c r="A28" t="n">
        <v>2048</v>
      </c>
      <c r="B28" s="16" t="inlineStr">
        <is>
          <t>Emissions tax / official PDP8 reference</t>
        </is>
      </c>
      <c r="C28" t="n">
        <v>120.531</v>
      </c>
      <c r="D28" t="n">
        <v>0.141552511</v>
      </c>
      <c r="E28" t="n">
        <v>154.049</v>
      </c>
      <c r="F28" t="n">
        <v>7.4</v>
      </c>
      <c r="G28" t="n">
        <v>536</v>
      </c>
      <c r="H28" t="n">
        <v>1.876</v>
      </c>
      <c r="I28" t="n">
        <v>16</v>
      </c>
      <c r="J28" t="n">
        <v>64</v>
      </c>
      <c r="K28" t="n">
        <v>4</v>
      </c>
      <c r="L28" t="n">
        <v>88.8</v>
      </c>
      <c r="M28" t="n">
        <v>136</v>
      </c>
      <c r="N28" t="n">
        <v>0.544</v>
      </c>
      <c r="O28" t="n">
        <v>11</v>
      </c>
      <c r="P28" t="n">
        <v>9.199999999999999</v>
      </c>
      <c r="U28" t="n">
        <v>24.8</v>
      </c>
      <c r="V28" t="n">
        <v>22</v>
      </c>
      <c r="W28" t="n">
        <v>4.4</v>
      </c>
      <c r="X28" t="n">
        <v>2.4</v>
      </c>
      <c r="Y28" t="n">
        <v>1900</v>
      </c>
      <c r="Z28" t="n">
        <v>0.52</v>
      </c>
      <c r="AA28" t="n">
        <v>3.92</v>
      </c>
      <c r="AB28" t="n">
        <v>2.736</v>
      </c>
      <c r="AC28" t="n">
        <v>5.52</v>
      </c>
      <c r="AD28" t="n">
        <v>4.72</v>
      </c>
      <c r="AE28" t="n">
        <v>160.3</v>
      </c>
      <c r="AF28" t="n">
        <v>38.08</v>
      </c>
      <c r="AG28" t="n">
        <v>81.76000000000001</v>
      </c>
      <c r="AH28" t="n">
        <v>77.84</v>
      </c>
      <c r="AI28" t="n">
        <v>357.98</v>
      </c>
    </row>
    <row r="29" ht="30" customHeight="1" s="17">
      <c r="A29" t="n">
        <v>2049</v>
      </c>
      <c r="B29" s="16" t="inlineStr">
        <is>
          <t>Emissions tax / official PDP8 reference</t>
        </is>
      </c>
      <c r="C29" t="n">
        <v>128.813</v>
      </c>
      <c r="D29" t="n">
        <v>0.141552511</v>
      </c>
      <c r="E29" t="n">
        <v>165.091</v>
      </c>
      <c r="F29" t="n">
        <v>7.7</v>
      </c>
      <c r="G29" t="n">
        <v>528</v>
      </c>
      <c r="H29" t="n">
        <v>1.848</v>
      </c>
      <c r="I29" t="n">
        <v>17</v>
      </c>
      <c r="J29" t="n">
        <v>68</v>
      </c>
      <c r="K29" t="n">
        <v>4</v>
      </c>
      <c r="L29" t="n">
        <v>88.90000000000001</v>
      </c>
      <c r="M29" t="n">
        <v>133</v>
      </c>
      <c r="N29" t="n">
        <v>0.532</v>
      </c>
      <c r="O29" t="n">
        <v>11.5</v>
      </c>
      <c r="P29" t="n">
        <v>9.6</v>
      </c>
      <c r="U29" t="n">
        <v>26.4</v>
      </c>
      <c r="V29" t="n">
        <v>23.5</v>
      </c>
      <c r="W29" t="n">
        <v>4.7</v>
      </c>
      <c r="X29" t="n">
        <v>2.45</v>
      </c>
      <c r="Y29" t="n">
        <v>1950</v>
      </c>
      <c r="Z29" t="n">
        <v>0.51</v>
      </c>
      <c r="AA29" t="n">
        <v>3.96</v>
      </c>
      <c r="AB29" t="n">
        <v>2.768</v>
      </c>
      <c r="AC29" t="n">
        <v>5.56</v>
      </c>
      <c r="AD29" t="n">
        <v>4.76</v>
      </c>
      <c r="AE29" t="n">
        <v>160.65</v>
      </c>
      <c r="AF29" t="n">
        <v>38.29</v>
      </c>
      <c r="AG29" t="n">
        <v>82.18000000000001</v>
      </c>
      <c r="AH29" t="n">
        <v>78.12</v>
      </c>
      <c r="AI29" t="n">
        <v>359.24</v>
      </c>
    </row>
    <row r="30" ht="30" customHeight="1" s="17">
      <c r="A30" t="n">
        <v>2050</v>
      </c>
      <c r="B30" s="16" t="inlineStr">
        <is>
          <t>Emissions tax / official PDP8 reference</t>
        </is>
      </c>
      <c r="C30" t="n">
        <v>137.67</v>
      </c>
      <c r="D30" t="n">
        <v>0.141552511</v>
      </c>
      <c r="E30" t="n">
        <v>176.936</v>
      </c>
      <c r="F30" t="n">
        <v>8</v>
      </c>
      <c r="G30" t="n">
        <v>520</v>
      </c>
      <c r="H30" t="n">
        <v>1.82</v>
      </c>
      <c r="I30" t="n">
        <v>18</v>
      </c>
      <c r="J30" t="n">
        <v>72</v>
      </c>
      <c r="K30" t="n">
        <v>4</v>
      </c>
      <c r="L30" t="n">
        <v>89</v>
      </c>
      <c r="M30" t="n">
        <v>130</v>
      </c>
      <c r="N30" t="n">
        <v>0.52</v>
      </c>
      <c r="O30" t="n">
        <v>12</v>
      </c>
      <c r="P30" t="n">
        <v>10</v>
      </c>
      <c r="U30" t="n">
        <v>28</v>
      </c>
      <c r="V30" t="n">
        <v>25</v>
      </c>
      <c r="W30" t="n">
        <v>5</v>
      </c>
      <c r="X30" t="n">
        <v>2.5</v>
      </c>
      <c r="Y30" t="n">
        <v>2000</v>
      </c>
      <c r="Z30" t="n">
        <v>0.5</v>
      </c>
      <c r="AA30" t="n">
        <v>10</v>
      </c>
      <c r="AB30" t="n">
        <v>2.8</v>
      </c>
      <c r="AC30" t="n">
        <v>5.6</v>
      </c>
      <c r="AD30" t="n">
        <v>4.8</v>
      </c>
      <c r="AE30" t="n">
        <v>161</v>
      </c>
      <c r="AF30" t="n">
        <v>38.5</v>
      </c>
      <c r="AG30" t="n">
        <v>82.59999999999999</v>
      </c>
      <c r="AH30" t="n">
        <v>78.40000000000001</v>
      </c>
      <c r="AI30" t="n">
        <v>360.5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0"/>
  <sheetViews>
    <sheetView topLeftCell="K1" workbookViewId="0">
      <pane ySplit="5" topLeftCell="A6" activePane="bottomLeft" state="frozen"/>
      <selection activeCell="S42" sqref="S42"/>
      <selection pane="bottomLeft" activeCell="R6" sqref="R6"/>
    </sheetView>
  </sheetViews>
  <sheetFormatPr baseColWidth="8" defaultRowHeight="15"/>
  <cols>
    <col width="16" customWidth="1" style="17" min="1" max="2"/>
    <col width="34" customWidth="1" style="17" min="3" max="3"/>
    <col width="16" customWidth="1" style="17" min="4" max="5"/>
    <col width="20" customWidth="1" style="17" min="6" max="6"/>
    <col width="16" customWidth="1" style="17" min="7" max="8"/>
    <col width="22" customWidth="1" style="17" min="9" max="9"/>
    <col width="16" customWidth="1" style="17" min="10" max="14"/>
    <col width="22" customWidth="1" style="17" min="15" max="15"/>
    <col width="20" customWidth="1" style="17" min="16" max="16"/>
    <col width="16" customWidth="1" style="17" min="17" max="26"/>
    <col width="22" customWidth="1" style="17" min="27" max="27"/>
    <col width="16" customWidth="1" style="17" min="28" max="36"/>
  </cols>
  <sheetData>
    <row r="1" ht="19.5" customHeight="1" s="17">
      <c r="A1" s="4" t="inlineStr">
        <is>
          <t>Scenario</t>
        </is>
      </c>
      <c r="B1" s="16" t="inlineStr">
        <is>
          <t>PDP8_PV_EV_BESS</t>
        </is>
      </c>
    </row>
    <row r="2" ht="20.25" customHeight="1" s="17">
      <c r="A2" s="4" t="inlineStr">
        <is>
          <t>Policy note</t>
        </is>
      </c>
      <c r="B2" s="16" t="inlineStr">
        <is>
          <t>Accelerated PV + EV + BESS rollout / emissions tax</t>
        </is>
      </c>
    </row>
    <row r="3" ht="27" customHeight="1" s="17">
      <c r="A3" s="4" t="inlineStr">
        <is>
          <t>Editing note</t>
        </is>
      </c>
      <c r="B3" s="16" t="inlineStr">
        <is>
          <t>Edit expert assumption columns as needed.</t>
        </is>
      </c>
    </row>
    <row r="5" ht="30" customHeight="1" s="17">
      <c r="A5" s="3" t="inlineStr">
        <is>
          <t>Year</t>
        </is>
      </c>
      <c r="B5" s="3" t="inlineStr">
        <is>
          <t>Policy_Mode</t>
        </is>
      </c>
      <c r="C5" s="3" t="inlineStr">
        <is>
          <t>RTS_Capacity_GW</t>
        </is>
      </c>
      <c r="D5" s="3" t="inlineStr">
        <is>
          <t>RTS_CapacityFactor</t>
        </is>
      </c>
      <c r="E5" s="3" t="inlineStr">
        <is>
          <t>RTS_Generation_TWh</t>
        </is>
      </c>
      <c r="F5" s="3" t="inlineStr">
        <is>
          <t>PV_Integration_Gain_pct</t>
        </is>
      </c>
      <c r="G5" s="3" t="inlineStr">
        <is>
          <t>PV_Capex_USD_per_kW</t>
        </is>
      </c>
      <c r="H5" s="3" t="inlineStr">
        <is>
          <t>PV_Annual_Investment_USDbn</t>
        </is>
      </c>
      <c r="I5" s="3" t="inlineStr">
        <is>
          <t>BESS_Power_GW</t>
        </is>
      </c>
      <c r="J5" s="3" t="inlineStr">
        <is>
          <t>BESS_Energy_GWh</t>
        </is>
      </c>
      <c r="K5" s="3" t="inlineStr">
        <is>
          <t>BESS_Duration_h</t>
        </is>
      </c>
      <c r="L5" s="3" t="inlineStr">
        <is>
          <t>BESS_RTE_pct</t>
        </is>
      </c>
      <c r="M5" s="3" t="inlineStr">
        <is>
          <t>BESS_Capex_USD_per_kWh</t>
        </is>
      </c>
      <c r="N5" s="3" t="inlineStr">
        <is>
          <t>BESS_Annual_Investment_USDbn</t>
        </is>
      </c>
      <c r="O5" s="3" t="inlineStr">
        <is>
          <t>Office_RTS_Penetration_pct</t>
        </is>
      </c>
      <c r="P5" s="3" t="inlineStr">
        <is>
          <t>Residential_RTS_Penetration_pct</t>
        </is>
      </c>
      <c r="Q5" s="3" t="inlineStr">
        <is>
          <t>EV_Bike_Share_pct</t>
        </is>
      </c>
      <c r="R5" s="3" t="inlineStr">
        <is>
          <t>EV_Car_Share_pct</t>
        </is>
      </c>
      <c r="S5" s="3" t="inlineStr">
        <is>
          <t>EV_Bus_Share_pct</t>
        </is>
      </c>
      <c r="T5" s="3" t="inlineStr">
        <is>
          <t>EV_Truck_Share_pct</t>
        </is>
      </c>
      <c r="U5" s="3" t="inlineStr">
        <is>
          <t>EV_Load_TWh</t>
        </is>
      </c>
      <c r="V5" s="3" t="inlineStr">
        <is>
          <t>FUEL_Displaced_TWh</t>
        </is>
      </c>
      <c r="W5" s="3" t="inlineStr">
        <is>
          <t>Net_FinalEnergy_Saving_TWh</t>
        </is>
      </c>
      <c r="X5" s="3" t="inlineStr">
        <is>
          <t>DSM_Electricity_Saving_pct</t>
        </is>
      </c>
      <c r="Y5" s="3" t="inlineStr">
        <is>
          <t>Peak_Load_Reduction_MW</t>
        </is>
      </c>
      <c r="Z5" s="3" t="inlineStr">
        <is>
          <t>Public_Infra_Investment_USDbn</t>
        </is>
      </c>
      <c r="AA5" s="6" t="inlineStr">
        <is>
          <t>Industry_EE_Saving_pct</t>
        </is>
      </c>
      <c r="AB5" s="6" t="inlineStr">
        <is>
          <t>Services_EE_Saving_pct</t>
        </is>
      </c>
      <c r="AC5" s="6" t="inlineStr">
        <is>
          <t>Households_EE_Saving_pct</t>
        </is>
      </c>
      <c r="AD5" s="6" t="inlineStr">
        <is>
          <t>Agriculture_EE_Saving_pct</t>
        </is>
      </c>
      <c r="AE5" s="6" t="inlineStr">
        <is>
          <t>Industry_EE_Investment_USDm</t>
        </is>
      </c>
      <c r="AF5" s="6" t="inlineStr">
        <is>
          <t>Services_EE_Investment_USDm</t>
        </is>
      </c>
      <c r="AG5" s="6" t="inlineStr">
        <is>
          <t>Households_EE_Investment_USDm</t>
        </is>
      </c>
      <c r="AH5" s="6" t="inlineStr">
        <is>
          <t>Agriculture_EE_Investment_USDm</t>
        </is>
      </c>
      <c r="AI5" s="6" t="inlineStr">
        <is>
          <t>Total_EE_Investment_USDm</t>
        </is>
      </c>
    </row>
    <row r="6" ht="30" customHeight="1" s="17">
      <c r="A6" t="n">
        <v>2026</v>
      </c>
      <c r="B6" s="16" t="inlineStr">
        <is>
          <t>Accelerated PV + EV + BESS rollout / emissions tax</t>
        </is>
      </c>
      <c r="C6">
        <f>PDP8_revised!C6</f>
        <v/>
      </c>
      <c r="D6" t="n">
        <v>0.141552511</v>
      </c>
      <c r="E6" t="n">
        <v>22.32</v>
      </c>
      <c r="F6" t="n">
        <v>1</v>
      </c>
      <c r="G6" t="n">
        <v>780</v>
      </c>
      <c r="H6" t="n">
        <v>6.63</v>
      </c>
      <c r="I6" t="n">
        <v>1.5</v>
      </c>
      <c r="J6" t="n">
        <v>6</v>
      </c>
      <c r="K6" t="n">
        <v>4</v>
      </c>
      <c r="L6" t="n">
        <v>86</v>
      </c>
      <c r="M6" t="n">
        <v>300</v>
      </c>
      <c r="N6" t="n">
        <v>1.44</v>
      </c>
      <c r="O6" t="n">
        <v>1</v>
      </c>
      <c r="P6" t="n">
        <v>0.5</v>
      </c>
      <c r="Q6" t="n">
        <v>2</v>
      </c>
      <c r="R6" t="n">
        <v>2</v>
      </c>
      <c r="S6" t="n">
        <v>5</v>
      </c>
      <c r="T6" t="n">
        <v>0.5</v>
      </c>
      <c r="U6" t="n">
        <v>0.8</v>
      </c>
      <c r="V6" t="n">
        <v>0.5</v>
      </c>
      <c r="W6" t="n">
        <v>0.15</v>
      </c>
      <c r="X6" t="n">
        <v>1.5</v>
      </c>
      <c r="Y6" t="n">
        <v>500</v>
      </c>
      <c r="Z6" t="n">
        <v>0.15</v>
      </c>
      <c r="AA6" t="n">
        <v>1.4</v>
      </c>
      <c r="AB6" t="n">
        <v>1.05</v>
      </c>
      <c r="AC6" t="n">
        <v>1.4</v>
      </c>
      <c r="AD6" t="n">
        <v>1.05</v>
      </c>
      <c r="AE6" t="n">
        <v>162</v>
      </c>
      <c r="AF6" t="n">
        <v>34.2</v>
      </c>
      <c r="AG6" t="n">
        <v>72</v>
      </c>
      <c r="AH6" t="n">
        <v>63</v>
      </c>
      <c r="AI6" t="n">
        <v>331.2</v>
      </c>
    </row>
    <row r="7" ht="30" customHeight="1" s="17">
      <c r="A7" t="n">
        <v>2027</v>
      </c>
      <c r="B7" s="16" t="inlineStr">
        <is>
          <t>Accelerated PV + EV + BESS rollout / emissions tax</t>
        </is>
      </c>
      <c r="C7">
        <f>PDP8_revised!C7</f>
        <v/>
      </c>
      <c r="D7" t="n">
        <v>0.141552511</v>
      </c>
      <c r="E7" t="n">
        <v>35.34</v>
      </c>
      <c r="F7" t="n">
        <v>2</v>
      </c>
      <c r="G7" t="n">
        <v>755</v>
      </c>
      <c r="H7" t="n">
        <v>7.9275</v>
      </c>
      <c r="I7" t="n">
        <v>3.125</v>
      </c>
      <c r="J7" t="n">
        <v>12.5</v>
      </c>
      <c r="K7" t="n">
        <v>4</v>
      </c>
      <c r="L7" t="n">
        <v>86.5</v>
      </c>
      <c r="M7" t="n">
        <v>275</v>
      </c>
      <c r="N7" t="n">
        <v>1.7875</v>
      </c>
      <c r="O7" t="n">
        <v>2</v>
      </c>
      <c r="P7" t="n">
        <v>1.125</v>
      </c>
      <c r="Q7" t="n">
        <v>5.25</v>
      </c>
      <c r="R7" t="n">
        <v>4</v>
      </c>
      <c r="S7" t="n">
        <v>8.75</v>
      </c>
      <c r="T7" t="n">
        <v>0.875</v>
      </c>
      <c r="U7" t="n">
        <v>1.6</v>
      </c>
      <c r="V7" t="n">
        <v>1.125</v>
      </c>
      <c r="W7" t="n">
        <v>0.3125</v>
      </c>
      <c r="X7" t="n">
        <v>1.625</v>
      </c>
      <c r="Y7" t="n">
        <v>750</v>
      </c>
      <c r="Z7" t="n">
        <v>0.2625</v>
      </c>
      <c r="AA7" t="n">
        <v>2.345</v>
      </c>
      <c r="AB7" t="n">
        <v>1.68</v>
      </c>
      <c r="AC7" t="n">
        <v>3.08</v>
      </c>
      <c r="AD7" t="n">
        <v>2.5375</v>
      </c>
      <c r="AE7" t="n">
        <v>168.75</v>
      </c>
      <c r="AF7" t="n">
        <v>36.225</v>
      </c>
      <c r="AG7" t="n">
        <v>77.40000000000001</v>
      </c>
      <c r="AH7" t="n">
        <v>69.75</v>
      </c>
      <c r="AI7" t="n">
        <v>352.125</v>
      </c>
    </row>
    <row r="8" ht="30" customHeight="1" s="17">
      <c r="A8" t="n">
        <v>2028</v>
      </c>
      <c r="B8" s="16" t="inlineStr">
        <is>
          <t>Accelerated PV + EV + BESS rollout / emissions tax</t>
        </is>
      </c>
      <c r="C8">
        <f>PDP8_revised!C8</f>
        <v/>
      </c>
      <c r="D8" t="n">
        <v>0.141552511</v>
      </c>
      <c r="E8" t="n">
        <v>48.36</v>
      </c>
      <c r="F8" t="n">
        <v>3</v>
      </c>
      <c r="G8" t="n">
        <v>730</v>
      </c>
      <c r="H8" t="n">
        <v>7.665</v>
      </c>
      <c r="I8" t="n">
        <v>4.75</v>
      </c>
      <c r="J8" t="n">
        <v>19</v>
      </c>
      <c r="K8" t="n">
        <v>4</v>
      </c>
      <c r="L8" t="n">
        <v>87</v>
      </c>
      <c r="M8" t="n">
        <v>250</v>
      </c>
      <c r="N8" t="n">
        <v>1.625</v>
      </c>
      <c r="O8" t="n">
        <v>3</v>
      </c>
      <c r="P8" t="n">
        <v>1.75</v>
      </c>
      <c r="Q8" t="n">
        <v>8.5</v>
      </c>
      <c r="R8" t="n">
        <v>6</v>
      </c>
      <c r="S8" t="n">
        <v>12.5</v>
      </c>
      <c r="T8" t="n">
        <v>1.25</v>
      </c>
      <c r="U8" t="n">
        <v>2.4</v>
      </c>
      <c r="V8" t="n">
        <v>1.75</v>
      </c>
      <c r="W8" t="n">
        <v>0.475</v>
      </c>
      <c r="X8" t="n">
        <v>1.75</v>
      </c>
      <c r="Y8" t="n">
        <v>1000</v>
      </c>
      <c r="Z8" t="n">
        <v>0.375</v>
      </c>
      <c r="AA8" t="n">
        <v>3.29</v>
      </c>
      <c r="AB8" t="n">
        <v>2.31</v>
      </c>
      <c r="AC8" t="n">
        <v>4.76</v>
      </c>
      <c r="AD8" t="n">
        <v>4.025</v>
      </c>
      <c r="AE8" t="n">
        <v>175.5</v>
      </c>
      <c r="AF8" t="n">
        <v>38.25</v>
      </c>
      <c r="AG8" t="n">
        <v>82.8</v>
      </c>
      <c r="AH8" t="n">
        <v>76.5</v>
      </c>
      <c r="AI8" t="n">
        <v>373.05</v>
      </c>
    </row>
    <row r="9" ht="30" customHeight="1" s="17">
      <c r="A9" t="n">
        <v>2029</v>
      </c>
      <c r="B9" s="16" t="inlineStr">
        <is>
          <t>Accelerated PV + EV + BESS rollout / emissions tax</t>
        </is>
      </c>
      <c r="C9">
        <f>PDP8_revised!C9</f>
        <v/>
      </c>
      <c r="D9" t="n">
        <v>0.141552511</v>
      </c>
      <c r="E9" t="n">
        <v>61.38</v>
      </c>
      <c r="F9" t="n">
        <v>4</v>
      </c>
      <c r="G9" t="n">
        <v>705</v>
      </c>
      <c r="H9" t="n">
        <v>7.4025</v>
      </c>
      <c r="I9" t="n">
        <v>6.375</v>
      </c>
      <c r="J9" t="n">
        <v>25.5</v>
      </c>
      <c r="K9" t="n">
        <v>4</v>
      </c>
      <c r="L9" t="n">
        <v>87.5</v>
      </c>
      <c r="M9" t="n">
        <v>225</v>
      </c>
      <c r="N9" t="n">
        <v>1.4625</v>
      </c>
      <c r="O9" t="n">
        <v>4</v>
      </c>
      <c r="P9" t="n">
        <v>2.375</v>
      </c>
      <c r="Q9" t="n">
        <v>11.75</v>
      </c>
      <c r="R9" t="n">
        <v>8</v>
      </c>
      <c r="S9" t="n">
        <v>16.25</v>
      </c>
      <c r="T9" t="n">
        <v>1.625</v>
      </c>
      <c r="U9" t="n">
        <v>3.2</v>
      </c>
      <c r="V9" t="n">
        <v>2.375</v>
      </c>
      <c r="W9" t="n">
        <v>0.6375</v>
      </c>
      <c r="X9" t="n">
        <v>1.875</v>
      </c>
      <c r="Y9" t="n">
        <v>1250</v>
      </c>
      <c r="Z9" t="n">
        <v>0.4875</v>
      </c>
      <c r="AA9" t="n">
        <v>4.235</v>
      </c>
      <c r="AB9" t="n">
        <v>2.94</v>
      </c>
      <c r="AC9" t="n">
        <v>6.44</v>
      </c>
      <c r="AD9" t="n">
        <v>5.5125</v>
      </c>
      <c r="AE9" t="n">
        <v>182.25</v>
      </c>
      <c r="AF9" t="n">
        <v>40.275</v>
      </c>
      <c r="AG9" t="n">
        <v>88.2</v>
      </c>
      <c r="AH9" t="n">
        <v>83.25</v>
      </c>
      <c r="AI9" t="n">
        <v>393.975</v>
      </c>
    </row>
    <row r="10" ht="30" customHeight="1" s="17">
      <c r="A10" t="n">
        <v>2030</v>
      </c>
      <c r="B10" s="16" t="inlineStr">
        <is>
          <t>Accelerated PV + EV + BESS rollout / emissions tax</t>
        </is>
      </c>
      <c r="C10">
        <f>PDP8_revised!C10</f>
        <v/>
      </c>
      <c r="D10" t="n">
        <v>0.141552511</v>
      </c>
      <c r="E10" t="n">
        <v>74.40000000000001</v>
      </c>
      <c r="F10" t="n">
        <v>5</v>
      </c>
      <c r="G10" t="n">
        <v>680</v>
      </c>
      <c r="H10" t="n">
        <v>7.14</v>
      </c>
      <c r="I10" t="n">
        <v>8</v>
      </c>
      <c r="J10" t="n">
        <v>32</v>
      </c>
      <c r="K10" t="n">
        <v>4</v>
      </c>
      <c r="L10" t="n">
        <v>88</v>
      </c>
      <c r="M10" t="n">
        <v>200</v>
      </c>
      <c r="N10" t="n">
        <v>1.3</v>
      </c>
      <c r="O10" t="n">
        <v>5</v>
      </c>
      <c r="P10" t="n">
        <v>3</v>
      </c>
      <c r="Q10" t="n">
        <v>15</v>
      </c>
      <c r="R10" t="n">
        <v>10</v>
      </c>
      <c r="S10" t="n">
        <v>20</v>
      </c>
      <c r="T10" t="n">
        <v>2</v>
      </c>
      <c r="U10" t="n">
        <v>4</v>
      </c>
      <c r="V10" t="n">
        <v>3</v>
      </c>
      <c r="W10" t="n">
        <v>0.8</v>
      </c>
      <c r="X10" t="n">
        <v>2</v>
      </c>
      <c r="Y10" t="n">
        <v>1500</v>
      </c>
      <c r="Z10" t="n">
        <v>0.6</v>
      </c>
      <c r="AA10" t="n">
        <v>5.18</v>
      </c>
      <c r="AB10" t="n">
        <v>3.57</v>
      </c>
      <c r="AC10" t="n">
        <v>8.119999999999999</v>
      </c>
      <c r="AD10" t="n">
        <v>7</v>
      </c>
      <c r="AE10" t="n">
        <v>189</v>
      </c>
      <c r="AF10" t="n">
        <v>42.3</v>
      </c>
      <c r="AG10" t="n">
        <v>93.59999999999999</v>
      </c>
      <c r="AH10" t="n">
        <v>90</v>
      </c>
      <c r="AI10" t="n">
        <v>414.9</v>
      </c>
    </row>
    <row r="11" ht="30" customHeight="1" s="17">
      <c r="A11" t="n">
        <v>2031</v>
      </c>
      <c r="B11" s="16" t="inlineStr">
        <is>
          <t>Accelerated PV + EV + BESS rollout / emissions tax</t>
        </is>
      </c>
      <c r="C11">
        <f>PDP8_revised!C11</f>
        <v/>
      </c>
      <c r="D11" t="n">
        <v>0.141552511</v>
      </c>
      <c r="E11" t="n">
        <v>83.08</v>
      </c>
      <c r="F11" t="n">
        <v>5.5</v>
      </c>
      <c r="G11" t="n">
        <v>668</v>
      </c>
      <c r="H11" t="n">
        <v>4.676</v>
      </c>
      <c r="I11" t="n">
        <v>9.699999999999999</v>
      </c>
      <c r="J11" t="n">
        <v>38.8</v>
      </c>
      <c r="K11" t="n">
        <v>4</v>
      </c>
      <c r="L11" t="n">
        <v>88.2</v>
      </c>
      <c r="M11" t="n">
        <v>194</v>
      </c>
      <c r="N11" t="n">
        <v>1.3192</v>
      </c>
      <c r="O11" t="n">
        <v>6</v>
      </c>
      <c r="P11" t="n">
        <v>3.9</v>
      </c>
      <c r="Q11" t="n">
        <v>18.5</v>
      </c>
      <c r="R11" t="n">
        <v>13</v>
      </c>
      <c r="S11" t="n">
        <v>24</v>
      </c>
      <c r="T11" t="n">
        <v>3.3</v>
      </c>
      <c r="U11" t="n">
        <v>5.4</v>
      </c>
      <c r="V11" t="n">
        <v>4.2</v>
      </c>
      <c r="W11" t="n">
        <v>1.07</v>
      </c>
      <c r="X11" t="n">
        <v>2.05</v>
      </c>
      <c r="Y11" t="n">
        <v>1700</v>
      </c>
      <c r="Z11" t="n">
        <v>0.66</v>
      </c>
      <c r="AA11" t="n">
        <v>5.292</v>
      </c>
      <c r="AB11" t="n">
        <v>3.647</v>
      </c>
      <c r="AC11" t="n">
        <v>8.218</v>
      </c>
      <c r="AD11" t="n">
        <v>7.07</v>
      </c>
      <c r="AE11" t="n">
        <v>190.35</v>
      </c>
      <c r="AF11" t="n">
        <v>42.75</v>
      </c>
      <c r="AG11" t="n">
        <v>94.31999999999999</v>
      </c>
      <c r="AH11" t="n">
        <v>90.72</v>
      </c>
      <c r="AI11" t="n">
        <v>418.14</v>
      </c>
    </row>
    <row r="12" ht="30" customHeight="1" s="17">
      <c r="A12" t="n">
        <v>2032</v>
      </c>
      <c r="B12" s="16" t="inlineStr">
        <is>
          <t>Accelerated PV + EV + BESS rollout / emissions tax</t>
        </is>
      </c>
      <c r="C12">
        <f>PDP8_revised!C12</f>
        <v/>
      </c>
      <c r="D12" t="n">
        <v>0.141552511</v>
      </c>
      <c r="E12" t="n">
        <v>91.76000000000001</v>
      </c>
      <c r="F12" t="n">
        <v>6</v>
      </c>
      <c r="G12" t="n">
        <v>656</v>
      </c>
      <c r="H12" t="n">
        <v>4.592</v>
      </c>
      <c r="I12" t="n">
        <v>11.4</v>
      </c>
      <c r="J12" t="n">
        <v>45.6</v>
      </c>
      <c r="K12" t="n">
        <v>4</v>
      </c>
      <c r="L12" t="n">
        <v>88.40000000000001</v>
      </c>
      <c r="M12" t="n">
        <v>188</v>
      </c>
      <c r="N12" t="n">
        <v>1.2784</v>
      </c>
      <c r="O12" t="n">
        <v>7</v>
      </c>
      <c r="P12" t="n">
        <v>4.8</v>
      </c>
      <c r="Q12" t="n">
        <v>22</v>
      </c>
      <c r="R12" t="n">
        <v>16</v>
      </c>
      <c r="S12" t="n">
        <v>28</v>
      </c>
      <c r="T12" t="n">
        <v>4.6</v>
      </c>
      <c r="U12" t="n">
        <v>6.8</v>
      </c>
      <c r="V12" t="n">
        <v>5.4</v>
      </c>
      <c r="W12" t="n">
        <v>1.34</v>
      </c>
      <c r="X12" t="n">
        <v>2.1</v>
      </c>
      <c r="Y12" t="n">
        <v>1900</v>
      </c>
      <c r="Z12" t="n">
        <v>0.72</v>
      </c>
      <c r="AA12" t="n">
        <v>5.404</v>
      </c>
      <c r="AB12" t="n">
        <v>3.724</v>
      </c>
      <c r="AC12" t="n">
        <v>8.316000000000001</v>
      </c>
      <c r="AD12" t="n">
        <v>7.14</v>
      </c>
      <c r="AE12" t="n">
        <v>191.7</v>
      </c>
      <c r="AF12" t="n">
        <v>43.2</v>
      </c>
      <c r="AG12" t="n">
        <v>95.04000000000001</v>
      </c>
      <c r="AH12" t="n">
        <v>91.44</v>
      </c>
      <c r="AI12" t="n">
        <v>421.38</v>
      </c>
    </row>
    <row r="13" ht="30" customHeight="1" s="17">
      <c r="A13" t="n">
        <v>2033</v>
      </c>
      <c r="B13" s="16" t="inlineStr">
        <is>
          <t>Accelerated PV + EV + BESS rollout / emissions tax</t>
        </is>
      </c>
      <c r="C13">
        <f>PDP8_revised!C13</f>
        <v/>
      </c>
      <c r="D13" t="n">
        <v>0.141552511</v>
      </c>
      <c r="E13" t="n">
        <v>100.44</v>
      </c>
      <c r="F13" t="n">
        <v>6.5</v>
      </c>
      <c r="G13" t="n">
        <v>644</v>
      </c>
      <c r="H13" t="n">
        <v>4.508</v>
      </c>
      <c r="I13" t="n">
        <v>13.1</v>
      </c>
      <c r="J13" t="n">
        <v>52.4</v>
      </c>
      <c r="K13" t="n">
        <v>4</v>
      </c>
      <c r="L13" t="n">
        <v>88.59999999999999</v>
      </c>
      <c r="M13" t="n">
        <v>182</v>
      </c>
      <c r="N13" t="n">
        <v>1.2376</v>
      </c>
      <c r="O13" t="n">
        <v>8</v>
      </c>
      <c r="P13" t="n">
        <v>5.7</v>
      </c>
      <c r="Q13" t="n">
        <v>25.5</v>
      </c>
      <c r="R13" t="n">
        <v>19</v>
      </c>
      <c r="S13" t="n">
        <v>32</v>
      </c>
      <c r="T13" t="n">
        <v>5.9</v>
      </c>
      <c r="U13" t="n">
        <v>8.199999999999999</v>
      </c>
      <c r="V13" t="n">
        <v>6.6</v>
      </c>
      <c r="W13" t="n">
        <v>1.61</v>
      </c>
      <c r="X13" t="n">
        <v>2.15</v>
      </c>
      <c r="Y13" t="n">
        <v>2100</v>
      </c>
      <c r="Z13" t="n">
        <v>0.78</v>
      </c>
      <c r="AA13" t="n">
        <v>5.516</v>
      </c>
      <c r="AB13" t="n">
        <v>3.801</v>
      </c>
      <c r="AC13" t="n">
        <v>8.414</v>
      </c>
      <c r="AD13" t="n">
        <v>7.21</v>
      </c>
      <c r="AE13" t="n">
        <v>193.05</v>
      </c>
      <c r="AF13" t="n">
        <v>43.65</v>
      </c>
      <c r="AG13" t="n">
        <v>95.76000000000001</v>
      </c>
      <c r="AH13" t="n">
        <v>92.16</v>
      </c>
      <c r="AI13" t="n">
        <v>424.62</v>
      </c>
    </row>
    <row r="14" ht="30" customHeight="1" s="17">
      <c r="A14" t="n">
        <v>2034</v>
      </c>
      <c r="B14" s="16" t="inlineStr">
        <is>
          <t>Accelerated PV + EV + BESS rollout / emissions tax</t>
        </is>
      </c>
      <c r="C14">
        <f>PDP8_revised!C14</f>
        <v/>
      </c>
      <c r="D14" t="n">
        <v>0.141552511</v>
      </c>
      <c r="E14" t="n">
        <v>109.12</v>
      </c>
      <c r="F14" t="n">
        <v>7</v>
      </c>
      <c r="G14" t="n">
        <v>632</v>
      </c>
      <c r="H14" t="n">
        <v>4.424</v>
      </c>
      <c r="I14" t="n">
        <v>14.8</v>
      </c>
      <c r="J14" t="n">
        <v>59.2</v>
      </c>
      <c r="K14" t="n">
        <v>4</v>
      </c>
      <c r="L14" t="n">
        <v>88.8</v>
      </c>
      <c r="M14" t="n">
        <v>176</v>
      </c>
      <c r="N14" t="n">
        <v>1.1968</v>
      </c>
      <c r="O14" t="n">
        <v>9</v>
      </c>
      <c r="P14" t="n">
        <v>6.6</v>
      </c>
      <c r="Q14" t="n">
        <v>29</v>
      </c>
      <c r="R14" t="n">
        <v>22</v>
      </c>
      <c r="S14" t="n">
        <v>36</v>
      </c>
      <c r="T14" t="n">
        <v>7.2</v>
      </c>
      <c r="U14" t="n">
        <v>9.6</v>
      </c>
      <c r="V14" t="n">
        <v>7.8</v>
      </c>
      <c r="W14" t="n">
        <v>1.88</v>
      </c>
      <c r="X14" t="n">
        <v>2.2</v>
      </c>
      <c r="Y14" t="n">
        <v>2300</v>
      </c>
      <c r="Z14" t="n">
        <v>0.84</v>
      </c>
      <c r="AA14" t="n">
        <v>5.628</v>
      </c>
      <c r="AB14" t="n">
        <v>3.878</v>
      </c>
      <c r="AC14" t="n">
        <v>8.512</v>
      </c>
      <c r="AD14" t="n">
        <v>7.28</v>
      </c>
      <c r="AE14" t="n">
        <v>194.4</v>
      </c>
      <c r="AF14" t="n">
        <v>44.1</v>
      </c>
      <c r="AG14" t="n">
        <v>96.48</v>
      </c>
      <c r="AH14" t="n">
        <v>92.88</v>
      </c>
      <c r="AI14" t="n">
        <v>427.86</v>
      </c>
    </row>
    <row r="15" ht="30" customHeight="1" s="17">
      <c r="A15" t="n">
        <v>2035</v>
      </c>
      <c r="B15" s="16" t="inlineStr">
        <is>
          <t>Accelerated PV + EV + BESS rollout / emissions tax</t>
        </is>
      </c>
      <c r="C15">
        <f>PDP8_revised!C15</f>
        <v/>
      </c>
      <c r="D15" t="n">
        <v>0.141552511</v>
      </c>
      <c r="E15" t="n">
        <v>117.8</v>
      </c>
      <c r="F15" t="n">
        <v>7.5</v>
      </c>
      <c r="G15" t="n">
        <v>620</v>
      </c>
      <c r="H15" t="n">
        <v>4.34</v>
      </c>
      <c r="I15" t="n">
        <v>16.5</v>
      </c>
      <c r="J15" t="n">
        <v>66</v>
      </c>
      <c r="K15" t="n">
        <v>4</v>
      </c>
      <c r="L15" t="n">
        <v>89</v>
      </c>
      <c r="M15" t="n">
        <v>170</v>
      </c>
      <c r="N15" t="n">
        <v>1.156</v>
      </c>
      <c r="O15" t="n">
        <v>10</v>
      </c>
      <c r="P15" t="n">
        <v>7.5</v>
      </c>
      <c r="Q15" t="n">
        <v>32.5</v>
      </c>
      <c r="R15" t="n">
        <v>25</v>
      </c>
      <c r="S15" t="n">
        <v>40</v>
      </c>
      <c r="T15" t="n">
        <v>8.5</v>
      </c>
      <c r="U15" t="n">
        <v>11</v>
      </c>
      <c r="V15" t="n">
        <v>9</v>
      </c>
      <c r="W15" t="n">
        <v>2.15</v>
      </c>
      <c r="X15" t="n">
        <v>2.25</v>
      </c>
      <c r="Y15" t="n">
        <v>2500</v>
      </c>
      <c r="Z15" t="n">
        <v>0.9</v>
      </c>
      <c r="AA15" t="n">
        <v>5.74</v>
      </c>
      <c r="AB15" t="n">
        <v>3.955</v>
      </c>
      <c r="AC15" t="n">
        <v>8.609999999999999</v>
      </c>
      <c r="AD15" t="n">
        <v>7.35</v>
      </c>
      <c r="AE15" t="n">
        <v>195.75</v>
      </c>
      <c r="AF15" t="n">
        <v>44.55</v>
      </c>
      <c r="AG15" t="n">
        <v>97.2</v>
      </c>
      <c r="AH15" t="n">
        <v>93.59999999999999</v>
      </c>
      <c r="AI15" t="n">
        <v>431.1</v>
      </c>
    </row>
    <row r="16" ht="30" customHeight="1" s="17">
      <c r="A16" t="n">
        <v>2036</v>
      </c>
      <c r="B16" s="16" t="inlineStr">
        <is>
          <t>Accelerated PV + EV + BESS rollout / emissions tax</t>
        </is>
      </c>
      <c r="C16">
        <f>PDP8_revised!C16</f>
        <v/>
      </c>
      <c r="D16" t="n">
        <v>0.141552511</v>
      </c>
      <c r="E16" t="n">
        <v>126.48</v>
      </c>
      <c r="F16" t="n">
        <v>8</v>
      </c>
      <c r="G16" t="n">
        <v>608</v>
      </c>
      <c r="H16" t="n">
        <v>4.256</v>
      </c>
      <c r="I16" t="n">
        <v>18.2</v>
      </c>
      <c r="J16" t="n">
        <v>72.8</v>
      </c>
      <c r="K16" t="n">
        <v>4</v>
      </c>
      <c r="L16" t="n">
        <v>89.2</v>
      </c>
      <c r="M16" t="n">
        <v>164</v>
      </c>
      <c r="N16" t="n">
        <v>1.1152</v>
      </c>
      <c r="O16" t="n">
        <v>11</v>
      </c>
      <c r="P16" t="n">
        <v>8.4</v>
      </c>
      <c r="Q16" t="n">
        <v>36</v>
      </c>
      <c r="R16" t="n">
        <v>28</v>
      </c>
      <c r="S16" t="n">
        <v>44</v>
      </c>
      <c r="T16" t="n">
        <v>9.800000000000001</v>
      </c>
      <c r="U16" t="n">
        <v>12.4</v>
      </c>
      <c r="V16" t="n">
        <v>10.2</v>
      </c>
      <c r="W16" t="n">
        <v>2.42</v>
      </c>
      <c r="X16" t="n">
        <v>2.3</v>
      </c>
      <c r="Y16" t="n">
        <v>2700</v>
      </c>
      <c r="Z16" t="n">
        <v>0.96</v>
      </c>
      <c r="AA16" t="n">
        <v>5.852</v>
      </c>
      <c r="AB16" t="n">
        <v>4.032</v>
      </c>
      <c r="AC16" t="n">
        <v>8.708</v>
      </c>
      <c r="AD16" t="n">
        <v>7.42</v>
      </c>
      <c r="AE16" t="n">
        <v>197.1</v>
      </c>
      <c r="AF16" t="n">
        <v>45</v>
      </c>
      <c r="AG16" t="n">
        <v>97.92</v>
      </c>
      <c r="AH16" t="n">
        <v>94.31999999999999</v>
      </c>
      <c r="AI16" t="n">
        <v>434.34</v>
      </c>
    </row>
    <row r="17" ht="30" customHeight="1" s="17">
      <c r="A17" t="n">
        <v>2037</v>
      </c>
      <c r="B17" s="16" t="inlineStr">
        <is>
          <t>Accelerated PV + EV + BESS rollout / emissions tax</t>
        </is>
      </c>
      <c r="C17">
        <f>PDP8_revised!C17</f>
        <v/>
      </c>
      <c r="D17" t="n">
        <v>0.141552511</v>
      </c>
      <c r="E17" t="n">
        <v>135.16</v>
      </c>
      <c r="F17" t="n">
        <v>8.5</v>
      </c>
      <c r="G17" t="n">
        <v>596</v>
      </c>
      <c r="H17" t="n">
        <v>4.172</v>
      </c>
      <c r="I17" t="n">
        <v>19.9</v>
      </c>
      <c r="J17" t="n">
        <v>79.59999999999999</v>
      </c>
      <c r="K17" t="n">
        <v>4</v>
      </c>
      <c r="L17" t="n">
        <v>89.40000000000001</v>
      </c>
      <c r="M17" t="n">
        <v>158</v>
      </c>
      <c r="N17" t="n">
        <v>1.0744</v>
      </c>
      <c r="O17" t="n">
        <v>12</v>
      </c>
      <c r="P17" t="n">
        <v>9.300000000000001</v>
      </c>
      <c r="Q17" t="n">
        <v>39.5</v>
      </c>
      <c r="R17" t="n">
        <v>31</v>
      </c>
      <c r="S17" t="n">
        <v>48</v>
      </c>
      <c r="T17" t="n">
        <v>11.1</v>
      </c>
      <c r="U17" t="n">
        <v>13.8</v>
      </c>
      <c r="V17" t="n">
        <v>11.4</v>
      </c>
      <c r="W17" t="n">
        <v>2.69</v>
      </c>
      <c r="X17" t="n">
        <v>2.35</v>
      </c>
      <c r="Y17" t="n">
        <v>2900</v>
      </c>
      <c r="Z17" t="n">
        <v>1.02</v>
      </c>
      <c r="AA17" t="n">
        <v>5.964</v>
      </c>
      <c r="AB17" t="n">
        <v>4.109</v>
      </c>
      <c r="AC17" t="n">
        <v>8.805999999999999</v>
      </c>
      <c r="AD17" t="n">
        <v>7.49</v>
      </c>
      <c r="AE17" t="n">
        <v>198.45</v>
      </c>
      <c r="AF17" t="n">
        <v>45.45</v>
      </c>
      <c r="AG17" t="n">
        <v>98.64</v>
      </c>
      <c r="AH17" t="n">
        <v>95.04000000000001</v>
      </c>
      <c r="AI17" t="n">
        <v>437.58</v>
      </c>
    </row>
    <row r="18" ht="30" customHeight="1" s="17">
      <c r="A18" t="n">
        <v>2038</v>
      </c>
      <c r="B18" s="16" t="inlineStr">
        <is>
          <t>Accelerated PV + EV + BESS rollout / emissions tax</t>
        </is>
      </c>
      <c r="C18">
        <f>PDP8_revised!C18</f>
        <v/>
      </c>
      <c r="D18" t="n">
        <v>0.141552511</v>
      </c>
      <c r="E18" t="n">
        <v>143.84</v>
      </c>
      <c r="F18" t="n">
        <v>9</v>
      </c>
      <c r="G18" t="n">
        <v>584</v>
      </c>
      <c r="H18" t="n">
        <v>4.088</v>
      </c>
      <c r="I18" t="n">
        <v>21.6</v>
      </c>
      <c r="J18" t="n">
        <v>86.40000000000001</v>
      </c>
      <c r="K18" t="n">
        <v>4</v>
      </c>
      <c r="L18" t="n">
        <v>89.59999999999999</v>
      </c>
      <c r="M18" t="n">
        <v>152</v>
      </c>
      <c r="N18" t="n">
        <v>1.0336</v>
      </c>
      <c r="O18" t="n">
        <v>13</v>
      </c>
      <c r="P18" t="n">
        <v>10.2</v>
      </c>
      <c r="Q18" t="n">
        <v>43</v>
      </c>
      <c r="R18" t="n">
        <v>34</v>
      </c>
      <c r="S18" t="n">
        <v>52</v>
      </c>
      <c r="T18" t="n">
        <v>12.4</v>
      </c>
      <c r="U18" t="n">
        <v>15.2</v>
      </c>
      <c r="V18" t="n">
        <v>12.6</v>
      </c>
      <c r="W18" t="n">
        <v>2.96</v>
      </c>
      <c r="X18" t="n">
        <v>2.4</v>
      </c>
      <c r="Y18" t="n">
        <v>3100</v>
      </c>
      <c r="Z18" t="n">
        <v>1.08</v>
      </c>
      <c r="AA18" t="n">
        <v>6.076</v>
      </c>
      <c r="AB18" t="n">
        <v>4.186</v>
      </c>
      <c r="AC18" t="n">
        <v>8.904</v>
      </c>
      <c r="AD18" t="n">
        <v>7.56</v>
      </c>
      <c r="AE18" t="n">
        <v>199.8</v>
      </c>
      <c r="AF18" t="n">
        <v>45.9</v>
      </c>
      <c r="AG18" t="n">
        <v>99.36</v>
      </c>
      <c r="AH18" t="n">
        <v>95.76000000000001</v>
      </c>
      <c r="AI18" t="n">
        <v>440.82</v>
      </c>
    </row>
    <row r="19" ht="30" customHeight="1" s="17">
      <c r="A19" t="n">
        <v>2039</v>
      </c>
      <c r="B19" s="16" t="inlineStr">
        <is>
          <t>Accelerated PV + EV + BESS rollout / emissions tax</t>
        </is>
      </c>
      <c r="C19">
        <f>PDP8_revised!C19</f>
        <v/>
      </c>
      <c r="D19" t="n">
        <v>0.141552511</v>
      </c>
      <c r="E19" t="n">
        <v>152.52</v>
      </c>
      <c r="F19" t="n">
        <v>9.5</v>
      </c>
      <c r="G19" t="n">
        <v>572</v>
      </c>
      <c r="H19" t="n">
        <v>4.004</v>
      </c>
      <c r="I19" t="n">
        <v>23.3</v>
      </c>
      <c r="J19" t="n">
        <v>93.2</v>
      </c>
      <c r="K19" t="n">
        <v>4</v>
      </c>
      <c r="L19" t="n">
        <v>89.8</v>
      </c>
      <c r="M19" t="n">
        <v>146</v>
      </c>
      <c r="N19" t="n">
        <v>0.9928</v>
      </c>
      <c r="O19" t="n">
        <v>14</v>
      </c>
      <c r="P19" t="n">
        <v>11.1</v>
      </c>
      <c r="Q19" t="n">
        <v>46.5</v>
      </c>
      <c r="R19" t="n">
        <v>37</v>
      </c>
      <c r="S19" t="n">
        <v>56</v>
      </c>
      <c r="T19" t="n">
        <v>13.7</v>
      </c>
      <c r="U19" t="n">
        <v>16.6</v>
      </c>
      <c r="V19" t="n">
        <v>13.8</v>
      </c>
      <c r="W19" t="n">
        <v>3.23</v>
      </c>
      <c r="X19" t="n">
        <v>2.45</v>
      </c>
      <c r="Y19" t="n">
        <v>3300</v>
      </c>
      <c r="Z19" t="n">
        <v>1.14</v>
      </c>
      <c r="AA19" t="n">
        <v>6.188</v>
      </c>
      <c r="AB19" t="n">
        <v>4.263</v>
      </c>
      <c r="AC19" t="n">
        <v>9.002000000000001</v>
      </c>
      <c r="AD19" t="n">
        <v>7.63</v>
      </c>
      <c r="AE19" t="n">
        <v>201.15</v>
      </c>
      <c r="AF19" t="n">
        <v>46.35</v>
      </c>
      <c r="AG19" t="n">
        <v>100.08</v>
      </c>
      <c r="AH19" t="n">
        <v>96.48</v>
      </c>
      <c r="AI19" t="n">
        <v>444.06</v>
      </c>
    </row>
    <row r="20" ht="30" customHeight="1" s="17">
      <c r="A20" t="n">
        <v>2040</v>
      </c>
      <c r="B20" s="16" t="inlineStr">
        <is>
          <t>Accelerated PV + EV + BESS rollout / emissions tax</t>
        </is>
      </c>
      <c r="C20">
        <f>PDP8_revised!C20</f>
        <v/>
      </c>
      <c r="D20" t="n">
        <v>0.141552511</v>
      </c>
      <c r="E20" t="n">
        <v>161.2</v>
      </c>
      <c r="F20" t="n">
        <v>10</v>
      </c>
      <c r="G20" t="n">
        <v>560</v>
      </c>
      <c r="H20" t="n">
        <v>3.92</v>
      </c>
      <c r="I20" t="n">
        <v>25</v>
      </c>
      <c r="J20" t="n">
        <v>100</v>
      </c>
      <c r="K20" t="n">
        <v>4</v>
      </c>
      <c r="L20" t="n">
        <v>90</v>
      </c>
      <c r="M20" t="n">
        <v>140</v>
      </c>
      <c r="N20" t="n">
        <v>0.952</v>
      </c>
      <c r="O20" t="n">
        <v>15</v>
      </c>
      <c r="P20" t="n">
        <v>12</v>
      </c>
      <c r="Q20" t="n">
        <v>50</v>
      </c>
      <c r="R20" t="n">
        <v>40</v>
      </c>
      <c r="S20" t="n">
        <v>60</v>
      </c>
      <c r="T20" t="n">
        <v>15</v>
      </c>
      <c r="U20" t="n">
        <v>18</v>
      </c>
      <c r="V20" t="n">
        <v>15</v>
      </c>
      <c r="W20" t="n">
        <v>3.5</v>
      </c>
      <c r="X20" t="n">
        <v>2.5</v>
      </c>
      <c r="Y20" t="n">
        <v>3500</v>
      </c>
      <c r="Z20" t="n">
        <v>1.2</v>
      </c>
      <c r="AA20" t="n">
        <v>6.3</v>
      </c>
      <c r="AB20" t="n">
        <v>4.34</v>
      </c>
      <c r="AC20" t="n">
        <v>9.1</v>
      </c>
      <c r="AD20" t="n">
        <v>7.7</v>
      </c>
      <c r="AE20" t="n">
        <v>202.5</v>
      </c>
      <c r="AF20" t="n">
        <v>46.8</v>
      </c>
      <c r="AG20" t="n">
        <v>100.8</v>
      </c>
      <c r="AH20" t="n">
        <v>97.2</v>
      </c>
      <c r="AI20" t="n">
        <v>447.3</v>
      </c>
    </row>
    <row r="21" ht="30" customHeight="1" s="17">
      <c r="A21" t="n">
        <v>2041</v>
      </c>
      <c r="B21" s="16" t="inlineStr">
        <is>
          <t>Accelerated PV + EV + BESS rollout / emissions tax</t>
        </is>
      </c>
      <c r="C21">
        <f>PDP8_revised!C21</f>
        <v/>
      </c>
      <c r="D21" t="n">
        <v>0.141552511</v>
      </c>
      <c r="E21" t="n">
        <v>168.64</v>
      </c>
      <c r="F21" t="n">
        <v>10.4</v>
      </c>
      <c r="G21" t="n">
        <v>552</v>
      </c>
      <c r="H21" t="n">
        <v>3.312</v>
      </c>
      <c r="I21" t="n">
        <v>27.5</v>
      </c>
      <c r="J21" t="n">
        <v>110</v>
      </c>
      <c r="K21" t="n">
        <v>4</v>
      </c>
      <c r="L21" t="n">
        <v>90.09999999999999</v>
      </c>
      <c r="M21" t="n">
        <v>137</v>
      </c>
      <c r="N21" t="n">
        <v>1.37</v>
      </c>
      <c r="O21" t="n">
        <v>16</v>
      </c>
      <c r="P21" t="n">
        <v>13</v>
      </c>
      <c r="Q21" t="n">
        <v>53.5</v>
      </c>
      <c r="R21" t="n">
        <v>44</v>
      </c>
      <c r="S21" t="n">
        <v>63.5</v>
      </c>
      <c r="T21" t="n">
        <v>17.5</v>
      </c>
      <c r="U21" t="n">
        <v>20.7</v>
      </c>
      <c r="V21" t="n">
        <v>17.5</v>
      </c>
      <c r="W21" t="n">
        <v>3.95</v>
      </c>
      <c r="X21" t="n">
        <v>2.55</v>
      </c>
      <c r="Y21" t="n">
        <v>3750</v>
      </c>
      <c r="Z21" t="n">
        <v>1.18</v>
      </c>
      <c r="AA21" t="n">
        <v>6.37</v>
      </c>
      <c r="AB21" t="n">
        <v>4.396</v>
      </c>
      <c r="AC21" t="n">
        <v>9.17</v>
      </c>
      <c r="AD21" t="n">
        <v>7.77</v>
      </c>
      <c r="AE21" t="n">
        <v>202.95</v>
      </c>
      <c r="AF21" t="n">
        <v>47.07</v>
      </c>
      <c r="AG21" t="n">
        <v>101.34</v>
      </c>
      <c r="AH21" t="n">
        <v>97.56</v>
      </c>
      <c r="AI21" t="n">
        <v>448.92</v>
      </c>
    </row>
    <row r="22" ht="30" customHeight="1" s="17">
      <c r="A22" t="n">
        <v>2042</v>
      </c>
      <c r="B22" s="16" t="inlineStr">
        <is>
          <t>Accelerated PV + EV + BESS rollout / emissions tax</t>
        </is>
      </c>
      <c r="C22">
        <f>PDP8_revised!C22</f>
        <v/>
      </c>
      <c r="D22" t="n">
        <v>0.141552511</v>
      </c>
      <c r="E22" t="n">
        <v>176.08</v>
      </c>
      <c r="F22" t="n">
        <v>10.8</v>
      </c>
      <c r="G22" t="n">
        <v>544</v>
      </c>
      <c r="H22" t="n">
        <v>3.264</v>
      </c>
      <c r="I22" t="n">
        <v>30</v>
      </c>
      <c r="J22" t="n">
        <v>120</v>
      </c>
      <c r="K22" t="n">
        <v>4</v>
      </c>
      <c r="L22" t="n">
        <v>90.2</v>
      </c>
      <c r="M22" t="n">
        <v>134</v>
      </c>
      <c r="N22" t="n">
        <v>1.34</v>
      </c>
      <c r="O22" t="n">
        <v>17</v>
      </c>
      <c r="P22" t="n">
        <v>14</v>
      </c>
      <c r="Q22" t="n">
        <v>57</v>
      </c>
      <c r="R22" t="n">
        <v>48</v>
      </c>
      <c r="S22" t="n">
        <v>67</v>
      </c>
      <c r="T22" t="n">
        <v>20</v>
      </c>
      <c r="U22" t="n">
        <v>23.4</v>
      </c>
      <c r="V22" t="n">
        <v>20</v>
      </c>
      <c r="W22" t="n">
        <v>4.4</v>
      </c>
      <c r="X22" t="n">
        <v>2.6</v>
      </c>
      <c r="Y22" t="n">
        <v>4000</v>
      </c>
      <c r="Z22" t="n">
        <v>1.16</v>
      </c>
      <c r="AA22" t="n">
        <v>6.44</v>
      </c>
      <c r="AB22" t="n">
        <v>4.452</v>
      </c>
      <c r="AC22" t="n">
        <v>9.24</v>
      </c>
      <c r="AD22" t="n">
        <v>7.84</v>
      </c>
      <c r="AE22" t="n">
        <v>203.4</v>
      </c>
      <c r="AF22" t="n">
        <v>47.34</v>
      </c>
      <c r="AG22" t="n">
        <v>101.88</v>
      </c>
      <c r="AH22" t="n">
        <v>97.92</v>
      </c>
      <c r="AI22" t="n">
        <v>450.54</v>
      </c>
    </row>
    <row r="23" ht="30" customHeight="1" s="17">
      <c r="A23" t="n">
        <v>2043</v>
      </c>
      <c r="B23" s="16" t="inlineStr">
        <is>
          <t>Accelerated PV + EV + BESS rollout / emissions tax</t>
        </is>
      </c>
      <c r="C23">
        <f>PDP8_revised!C23</f>
        <v/>
      </c>
      <c r="D23" t="n">
        <v>0.141552511</v>
      </c>
      <c r="E23" t="n">
        <v>183.52</v>
      </c>
      <c r="F23" t="n">
        <v>11.2</v>
      </c>
      <c r="G23" t="n">
        <v>536</v>
      </c>
      <c r="H23" t="n">
        <v>3.216</v>
      </c>
      <c r="I23" t="n">
        <v>32.5</v>
      </c>
      <c r="J23" t="n">
        <v>130</v>
      </c>
      <c r="K23" t="n">
        <v>4</v>
      </c>
      <c r="L23" t="n">
        <v>90.3</v>
      </c>
      <c r="M23" t="n">
        <v>131</v>
      </c>
      <c r="N23" t="n">
        <v>1.31</v>
      </c>
      <c r="O23" t="n">
        <v>18</v>
      </c>
      <c r="P23" t="n">
        <v>15</v>
      </c>
      <c r="Q23" t="n">
        <v>60.5</v>
      </c>
      <c r="R23" t="n">
        <v>52</v>
      </c>
      <c r="S23" t="n">
        <v>70.5</v>
      </c>
      <c r="T23" t="n">
        <v>22.5</v>
      </c>
      <c r="U23" t="n">
        <v>26.1</v>
      </c>
      <c r="V23" t="n">
        <v>22.5</v>
      </c>
      <c r="W23" t="n">
        <v>4.85</v>
      </c>
      <c r="X23" t="n">
        <v>2.65</v>
      </c>
      <c r="Y23" t="n">
        <v>4250</v>
      </c>
      <c r="Z23" t="n">
        <v>1.14</v>
      </c>
      <c r="AA23" t="n">
        <v>6.51</v>
      </c>
      <c r="AB23" t="n">
        <v>4.508</v>
      </c>
      <c r="AC23" t="n">
        <v>9.31</v>
      </c>
      <c r="AD23" t="n">
        <v>7.91</v>
      </c>
      <c r="AE23" t="n">
        <v>203.85</v>
      </c>
      <c r="AF23" t="n">
        <v>47.61</v>
      </c>
      <c r="AG23" t="n">
        <v>102.42</v>
      </c>
      <c r="AH23" t="n">
        <v>98.28</v>
      </c>
      <c r="AI23" t="n">
        <v>452.16</v>
      </c>
    </row>
    <row r="24" ht="30" customHeight="1" s="17">
      <c r="A24" t="n">
        <v>2044</v>
      </c>
      <c r="B24" s="16" t="inlineStr">
        <is>
          <t>Accelerated PV + EV + BESS rollout / emissions tax</t>
        </is>
      </c>
      <c r="C24">
        <f>PDP8_revised!C24</f>
        <v/>
      </c>
      <c r="D24" t="n">
        <v>0.141552511</v>
      </c>
      <c r="E24" t="n">
        <v>190.96</v>
      </c>
      <c r="F24" t="n">
        <v>11.6</v>
      </c>
      <c r="G24" t="n">
        <v>528</v>
      </c>
      <c r="H24" t="n">
        <v>3.168</v>
      </c>
      <c r="I24" t="n">
        <v>35</v>
      </c>
      <c r="J24" t="n">
        <v>140</v>
      </c>
      <c r="K24" t="n">
        <v>4</v>
      </c>
      <c r="L24" t="n">
        <v>90.40000000000001</v>
      </c>
      <c r="M24" t="n">
        <v>128</v>
      </c>
      <c r="N24" t="n">
        <v>1.28</v>
      </c>
      <c r="O24" t="n">
        <v>19</v>
      </c>
      <c r="P24" t="n">
        <v>16</v>
      </c>
      <c r="Q24" t="n">
        <v>64</v>
      </c>
      <c r="R24" t="n">
        <v>56</v>
      </c>
      <c r="S24" t="n">
        <v>74</v>
      </c>
      <c r="T24" t="n">
        <v>25</v>
      </c>
      <c r="U24" t="n">
        <v>28.8</v>
      </c>
      <c r="V24" t="n">
        <v>25</v>
      </c>
      <c r="W24" t="n">
        <v>5.3</v>
      </c>
      <c r="X24" t="n">
        <v>2.7</v>
      </c>
      <c r="Y24" t="n">
        <v>4500</v>
      </c>
      <c r="Z24" t="n">
        <v>1.12</v>
      </c>
      <c r="AA24" t="n">
        <v>6.58</v>
      </c>
      <c r="AB24" t="n">
        <v>4.564</v>
      </c>
      <c r="AC24" t="n">
        <v>9.380000000000001</v>
      </c>
      <c r="AD24" t="n">
        <v>7.98</v>
      </c>
      <c r="AE24" t="n">
        <v>204.3</v>
      </c>
      <c r="AF24" t="n">
        <v>47.88</v>
      </c>
      <c r="AG24" t="n">
        <v>102.96</v>
      </c>
      <c r="AH24" t="n">
        <v>98.64</v>
      </c>
      <c r="AI24" t="n">
        <v>453.78</v>
      </c>
    </row>
    <row r="25" ht="30" customHeight="1" s="17">
      <c r="A25" t="n">
        <v>2045</v>
      </c>
      <c r="B25" s="16" t="inlineStr">
        <is>
          <t>Accelerated PV + EV + BESS rollout / emissions tax</t>
        </is>
      </c>
      <c r="C25">
        <f>PDP8_revised!C25</f>
        <v/>
      </c>
      <c r="D25" t="n">
        <v>0.141552511</v>
      </c>
      <c r="E25" t="n">
        <v>198.4</v>
      </c>
      <c r="F25" t="n">
        <v>12</v>
      </c>
      <c r="G25" t="n">
        <v>520</v>
      </c>
      <c r="H25" t="n">
        <v>3.12</v>
      </c>
      <c r="I25" t="n">
        <v>37.5</v>
      </c>
      <c r="J25" t="n">
        <v>150</v>
      </c>
      <c r="K25" t="n">
        <v>4</v>
      </c>
      <c r="L25" t="n">
        <v>90.5</v>
      </c>
      <c r="M25" t="n">
        <v>125</v>
      </c>
      <c r="N25" t="n">
        <v>1.25</v>
      </c>
      <c r="O25" t="n">
        <v>20</v>
      </c>
      <c r="P25" t="n">
        <v>17</v>
      </c>
      <c r="Q25" t="n">
        <v>67.5</v>
      </c>
      <c r="R25" t="n">
        <v>60</v>
      </c>
      <c r="S25" t="n">
        <v>77.5</v>
      </c>
      <c r="T25" t="n">
        <v>27.5</v>
      </c>
      <c r="U25" t="n">
        <v>31.5</v>
      </c>
      <c r="V25" t="n">
        <v>27.5</v>
      </c>
      <c r="W25" t="n">
        <v>5.75</v>
      </c>
      <c r="X25" t="n">
        <v>2.75</v>
      </c>
      <c r="Y25" t="n">
        <v>4750</v>
      </c>
      <c r="Z25" t="n">
        <v>1.1</v>
      </c>
      <c r="AA25" t="n">
        <v>6.65</v>
      </c>
      <c r="AB25" t="n">
        <v>4.62</v>
      </c>
      <c r="AC25" t="n">
        <v>9.449999999999999</v>
      </c>
      <c r="AD25" t="n">
        <v>8.050000000000001</v>
      </c>
      <c r="AE25" t="n">
        <v>204.75</v>
      </c>
      <c r="AF25" t="n">
        <v>48.15</v>
      </c>
      <c r="AG25" t="n">
        <v>103.5</v>
      </c>
      <c r="AH25" t="n">
        <v>99</v>
      </c>
      <c r="AI25" t="n">
        <v>455.4</v>
      </c>
    </row>
    <row r="26" ht="30" customHeight="1" s="17">
      <c r="A26" t="n">
        <v>2046</v>
      </c>
      <c r="B26" s="16" t="inlineStr">
        <is>
          <t>Accelerated PV + EV + BESS rollout / emissions tax</t>
        </is>
      </c>
      <c r="C26">
        <f>PDP8_revised!C26</f>
        <v/>
      </c>
      <c r="D26" t="n">
        <v>0.141552511</v>
      </c>
      <c r="E26" t="n">
        <v>205.84</v>
      </c>
      <c r="F26" t="n">
        <v>12.4</v>
      </c>
      <c r="G26" t="n">
        <v>512</v>
      </c>
      <c r="H26" t="n">
        <v>3.072</v>
      </c>
      <c r="I26" t="n">
        <v>40</v>
      </c>
      <c r="J26" t="n">
        <v>160</v>
      </c>
      <c r="K26" t="n">
        <v>4</v>
      </c>
      <c r="L26" t="n">
        <v>90.59999999999999</v>
      </c>
      <c r="M26" t="n">
        <v>122</v>
      </c>
      <c r="N26" t="n">
        <v>1.22</v>
      </c>
      <c r="O26" t="n">
        <v>21</v>
      </c>
      <c r="P26" t="n">
        <v>18</v>
      </c>
      <c r="Q26" t="n">
        <v>71</v>
      </c>
      <c r="R26" t="n">
        <v>64</v>
      </c>
      <c r="S26" t="n">
        <v>81</v>
      </c>
      <c r="T26" t="n">
        <v>30</v>
      </c>
      <c r="U26" t="n">
        <v>34.2</v>
      </c>
      <c r="V26" t="n">
        <v>30</v>
      </c>
      <c r="W26" t="n">
        <v>6.2</v>
      </c>
      <c r="X26" t="n">
        <v>2.8</v>
      </c>
      <c r="Y26" t="n">
        <v>5000</v>
      </c>
      <c r="Z26" t="n">
        <v>1.08</v>
      </c>
      <c r="AA26" t="n">
        <v>6.72</v>
      </c>
      <c r="AB26" t="n">
        <v>4.676</v>
      </c>
      <c r="AC26" t="n">
        <v>9.52</v>
      </c>
      <c r="AD26" t="n">
        <v>8.119999999999999</v>
      </c>
      <c r="AE26" t="n">
        <v>205.2</v>
      </c>
      <c r="AF26" t="n">
        <v>48.42</v>
      </c>
      <c r="AG26" t="n">
        <v>104.04</v>
      </c>
      <c r="AH26" t="n">
        <v>99.36</v>
      </c>
      <c r="AI26" t="n">
        <v>457.02</v>
      </c>
    </row>
    <row r="27" ht="30" customHeight="1" s="17">
      <c r="A27" t="n">
        <v>2047</v>
      </c>
      <c r="B27" s="16" t="inlineStr">
        <is>
          <t>Accelerated PV + EV + BESS rollout / emissions tax</t>
        </is>
      </c>
      <c r="C27">
        <f>PDP8_revised!C27</f>
        <v/>
      </c>
      <c r="D27" t="n">
        <v>0.141552511</v>
      </c>
      <c r="E27" t="n">
        <v>213.28</v>
      </c>
      <c r="F27" t="n">
        <v>12.8</v>
      </c>
      <c r="G27" t="n">
        <v>504</v>
      </c>
      <c r="H27" t="n">
        <v>3.024</v>
      </c>
      <c r="I27" t="n">
        <v>42.5</v>
      </c>
      <c r="J27" t="n">
        <v>170</v>
      </c>
      <c r="K27" t="n">
        <v>4</v>
      </c>
      <c r="L27" t="n">
        <v>90.7</v>
      </c>
      <c r="M27" t="n">
        <v>119</v>
      </c>
      <c r="N27" t="n">
        <v>1.19</v>
      </c>
      <c r="O27" t="n">
        <v>22</v>
      </c>
      <c r="P27" t="n">
        <v>19</v>
      </c>
      <c r="Q27" t="n">
        <v>74.5</v>
      </c>
      <c r="R27" t="n">
        <v>68</v>
      </c>
      <c r="S27" t="n">
        <v>84.5</v>
      </c>
      <c r="T27" t="n">
        <v>32.5</v>
      </c>
      <c r="U27" t="n">
        <v>36.9</v>
      </c>
      <c r="V27" t="n">
        <v>32.5</v>
      </c>
      <c r="W27" t="n">
        <v>6.65</v>
      </c>
      <c r="X27" t="n">
        <v>2.85</v>
      </c>
      <c r="Y27" t="n">
        <v>5250</v>
      </c>
      <c r="Z27" t="n">
        <v>1.06</v>
      </c>
      <c r="AA27" t="n">
        <v>6.79</v>
      </c>
      <c r="AB27" t="n">
        <v>4.732</v>
      </c>
      <c r="AC27" t="n">
        <v>9.59</v>
      </c>
      <c r="AD27" t="n">
        <v>8.19</v>
      </c>
      <c r="AE27" t="n">
        <v>205.65</v>
      </c>
      <c r="AF27" t="n">
        <v>48.69</v>
      </c>
      <c r="AG27" t="n">
        <v>104.58</v>
      </c>
      <c r="AH27" t="n">
        <v>99.72</v>
      </c>
      <c r="AI27" t="n">
        <v>458.64</v>
      </c>
    </row>
    <row r="28" ht="30" customHeight="1" s="17">
      <c r="A28" t="n">
        <v>2048</v>
      </c>
      <c r="B28" s="16" t="inlineStr">
        <is>
          <t>Accelerated PV + EV + BESS rollout / emissions tax</t>
        </is>
      </c>
      <c r="C28">
        <f>PDP8_revised!C28</f>
        <v/>
      </c>
      <c r="D28" t="n">
        <v>0.141552511</v>
      </c>
      <c r="E28" t="n">
        <v>220.72</v>
      </c>
      <c r="F28" t="n">
        <v>13.2</v>
      </c>
      <c r="G28" t="n">
        <v>496</v>
      </c>
      <c r="H28" t="n">
        <v>2.976</v>
      </c>
      <c r="I28" t="n">
        <v>45</v>
      </c>
      <c r="J28" t="n">
        <v>180</v>
      </c>
      <c r="K28" t="n">
        <v>4</v>
      </c>
      <c r="L28" t="n">
        <v>90.8</v>
      </c>
      <c r="M28" t="n">
        <v>116</v>
      </c>
      <c r="N28" t="n">
        <v>1.16</v>
      </c>
      <c r="O28" t="n">
        <v>23</v>
      </c>
      <c r="P28" t="n">
        <v>20</v>
      </c>
      <c r="Q28" t="n">
        <v>78</v>
      </c>
      <c r="R28" t="n">
        <v>72</v>
      </c>
      <c r="S28" t="n">
        <v>88</v>
      </c>
      <c r="T28" t="n">
        <v>35</v>
      </c>
      <c r="U28" t="n">
        <v>39.6</v>
      </c>
      <c r="V28" t="n">
        <v>35</v>
      </c>
      <c r="W28" t="n">
        <v>7.1</v>
      </c>
      <c r="X28" t="n">
        <v>2.9</v>
      </c>
      <c r="Y28" t="n">
        <v>5500</v>
      </c>
      <c r="Z28" t="n">
        <v>1.04</v>
      </c>
      <c r="AA28" t="n">
        <v>6.86</v>
      </c>
      <c r="AB28" t="n">
        <v>4.788</v>
      </c>
      <c r="AC28" t="n">
        <v>9.66</v>
      </c>
      <c r="AD28" t="n">
        <v>8.26</v>
      </c>
      <c r="AE28" t="n">
        <v>206.1</v>
      </c>
      <c r="AF28" t="n">
        <v>48.96</v>
      </c>
      <c r="AG28" t="n">
        <v>105.12</v>
      </c>
      <c r="AH28" t="n">
        <v>100.08</v>
      </c>
      <c r="AI28" t="n">
        <v>460.26</v>
      </c>
    </row>
    <row r="29" ht="30" customHeight="1" s="17">
      <c r="A29" t="n">
        <v>2049</v>
      </c>
      <c r="B29" s="16" t="inlineStr">
        <is>
          <t>Accelerated PV + EV + BESS rollout / emissions tax</t>
        </is>
      </c>
      <c r="C29">
        <f>PDP8_revised!C29</f>
        <v/>
      </c>
      <c r="D29" t="n">
        <v>0.141552511</v>
      </c>
      <c r="E29" t="n">
        <v>228.16</v>
      </c>
      <c r="F29" t="n">
        <v>13.6</v>
      </c>
      <c r="G29" t="n">
        <v>488</v>
      </c>
      <c r="H29" t="n">
        <v>2.928</v>
      </c>
      <c r="I29" t="n">
        <v>47.5</v>
      </c>
      <c r="J29" t="n">
        <v>190</v>
      </c>
      <c r="K29" t="n">
        <v>4</v>
      </c>
      <c r="L29" t="n">
        <v>90.90000000000001</v>
      </c>
      <c r="M29" t="n">
        <v>113</v>
      </c>
      <c r="N29" t="n">
        <v>1.13</v>
      </c>
      <c r="O29" t="n">
        <v>24</v>
      </c>
      <c r="P29" t="n">
        <v>21</v>
      </c>
      <c r="Q29" t="n">
        <v>81.5</v>
      </c>
      <c r="R29" t="n">
        <v>76</v>
      </c>
      <c r="S29" t="n">
        <v>91.5</v>
      </c>
      <c r="T29" t="n">
        <v>37.5</v>
      </c>
      <c r="U29" t="n">
        <v>42.3</v>
      </c>
      <c r="V29" t="n">
        <v>37.5</v>
      </c>
      <c r="W29" t="n">
        <v>7.55</v>
      </c>
      <c r="X29" t="n">
        <v>2.95</v>
      </c>
      <c r="Y29" t="n">
        <v>5750</v>
      </c>
      <c r="Z29" t="n">
        <v>1.02</v>
      </c>
      <c r="AA29" t="n">
        <v>6.93</v>
      </c>
      <c r="AB29" t="n">
        <v>4.844</v>
      </c>
      <c r="AC29" t="n">
        <v>9.73</v>
      </c>
      <c r="AD29" t="n">
        <v>8.33</v>
      </c>
      <c r="AE29" t="n">
        <v>206.55</v>
      </c>
      <c r="AF29" t="n">
        <v>49.23</v>
      </c>
      <c r="AG29" t="n">
        <v>105.66</v>
      </c>
      <c r="AH29" t="n">
        <v>100.44</v>
      </c>
      <c r="AI29" t="n">
        <v>461.88</v>
      </c>
    </row>
    <row r="30" ht="30" customHeight="1" s="17">
      <c r="A30" t="n">
        <v>2050</v>
      </c>
      <c r="B30" s="16" t="inlineStr">
        <is>
          <t>Accelerated PV + EV + BESS rollout / emissions tax</t>
        </is>
      </c>
      <c r="C30">
        <f>PDP8_revised!C30</f>
        <v/>
      </c>
      <c r="D30" t="n">
        <v>0.141552511</v>
      </c>
      <c r="E30" t="n">
        <v>235.6</v>
      </c>
      <c r="F30" t="n">
        <v>14</v>
      </c>
      <c r="G30" t="n">
        <v>480</v>
      </c>
      <c r="H30" t="n">
        <v>2.88</v>
      </c>
      <c r="I30" t="n">
        <v>50</v>
      </c>
      <c r="J30" t="n">
        <v>200</v>
      </c>
      <c r="K30" t="n">
        <v>4</v>
      </c>
      <c r="L30" t="n">
        <v>91</v>
      </c>
      <c r="M30" t="n">
        <v>110</v>
      </c>
      <c r="N30" t="n">
        <v>1.1</v>
      </c>
      <c r="O30" t="n">
        <v>25</v>
      </c>
      <c r="P30" t="n">
        <v>22</v>
      </c>
      <c r="Q30" t="n">
        <v>85</v>
      </c>
      <c r="R30" t="n">
        <v>80</v>
      </c>
      <c r="S30" t="n">
        <v>95</v>
      </c>
      <c r="T30" t="n">
        <v>40</v>
      </c>
      <c r="U30" t="n">
        <v>45</v>
      </c>
      <c r="V30" t="n">
        <v>40</v>
      </c>
      <c r="W30" t="n">
        <v>8</v>
      </c>
      <c r="X30" t="n">
        <v>3</v>
      </c>
      <c r="Y30" t="n">
        <v>6000</v>
      </c>
      <c r="Z30" t="n">
        <v>1</v>
      </c>
      <c r="AA30" t="n">
        <v>7</v>
      </c>
      <c r="AB30" t="n">
        <v>4.9</v>
      </c>
      <c r="AC30" t="n">
        <v>9.800000000000001</v>
      </c>
      <c r="AD30" t="n">
        <v>8.4</v>
      </c>
      <c r="AE30" t="n">
        <v>207</v>
      </c>
      <c r="AF30" t="n">
        <v>49.5</v>
      </c>
      <c r="AG30" t="n">
        <v>106.2</v>
      </c>
      <c r="AH30" t="n">
        <v>100.8</v>
      </c>
      <c r="AI30" t="n">
        <v>463.5</v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pane ySplit="5" topLeftCell="A6" activePane="bottomLeft" state="frozen"/>
      <selection pane="bottomLeft" activeCell="F5" sqref="F5"/>
    </sheetView>
  </sheetViews>
  <sheetFormatPr baseColWidth="8" defaultRowHeight="15"/>
  <cols>
    <col width="16" customWidth="1" style="17" min="1" max="1"/>
    <col width="32.85546875" customWidth="1" style="17" min="2" max="2"/>
    <col width="34" customWidth="1" style="17" min="3" max="3"/>
    <col width="16" customWidth="1" style="17" min="4" max="5"/>
    <col width="20" customWidth="1" style="17" min="6" max="6"/>
    <col width="16" customWidth="1" style="17" min="7" max="8"/>
    <col width="22" customWidth="1" style="17" min="9" max="9"/>
    <col width="16" customWidth="1" style="17" min="10" max="14"/>
    <col width="22" customWidth="1" style="17" min="15" max="15"/>
    <col width="20" customWidth="1" style="17" min="16" max="16"/>
    <col width="16" customWidth="1" style="17" min="17" max="26"/>
    <col width="22" customWidth="1" style="17" min="27" max="27"/>
    <col width="16" customWidth="1" style="17" min="28" max="36"/>
  </cols>
  <sheetData>
    <row r="1" ht="30" customHeight="1" s="17">
      <c r="A1" s="4" t="inlineStr">
        <is>
          <t>Scenario</t>
        </is>
      </c>
      <c r="B1" s="16" t="inlineStr">
        <is>
          <t>Directive10_RTS_EE</t>
        </is>
      </c>
    </row>
    <row r="2" ht="30" customHeight="1" s="17">
      <c r="A2" s="4" t="inlineStr">
        <is>
          <t>Policy note</t>
        </is>
      </c>
      <c r="B2" s="16" t="inlineStr">
        <is>
          <t>PM Directive 10/CT-TTg proxy</t>
        </is>
      </c>
    </row>
    <row r="3" ht="40.5" customHeight="1" s="17">
      <c r="A3" s="4" t="inlineStr">
        <is>
          <t>Editing note</t>
        </is>
      </c>
      <c r="B3" s="16" t="inlineStr">
        <is>
          <t xml:space="preserve">Edit expert assumption columns as needed. </t>
        </is>
      </c>
    </row>
    <row r="5" ht="30" customHeight="1" s="17">
      <c r="A5" s="3" t="inlineStr">
        <is>
          <t>Year</t>
        </is>
      </c>
      <c r="B5" s="3" t="inlineStr">
        <is>
          <t>Policy_Mode</t>
        </is>
      </c>
      <c r="C5" s="3" t="inlineStr">
        <is>
          <t>RTS_Capacity_GW</t>
        </is>
      </c>
      <c r="D5" s="3" t="inlineStr">
        <is>
          <t>RTS_CapacityFactor</t>
        </is>
      </c>
      <c r="E5" s="3" t="inlineStr">
        <is>
          <t>RTS_Generation_TWh</t>
        </is>
      </c>
      <c r="F5" s="3" t="inlineStr">
        <is>
          <t>PV_Integration_Gain_pct</t>
        </is>
      </c>
      <c r="G5" s="3" t="inlineStr">
        <is>
          <t>PV_Capex_USD_per_kW</t>
        </is>
      </c>
      <c r="H5" s="3" t="inlineStr">
        <is>
          <t>PV_Annual_Investment_USDbn</t>
        </is>
      </c>
      <c r="I5" s="3" t="inlineStr">
        <is>
          <t>BESS_Power_GW</t>
        </is>
      </c>
      <c r="J5" s="3" t="inlineStr">
        <is>
          <t>BESS_Energy_GWh</t>
        </is>
      </c>
      <c r="K5" s="3" t="inlineStr">
        <is>
          <t>BESS_Duration_h</t>
        </is>
      </c>
      <c r="L5" s="3" t="inlineStr">
        <is>
          <t>BESS_RTE_pct</t>
        </is>
      </c>
      <c r="M5" s="3" t="inlineStr">
        <is>
          <t>BESS_Capex_USD_per_kWh</t>
        </is>
      </c>
      <c r="N5" s="3" t="inlineStr">
        <is>
          <t>BESS_Annual_Investment_USDbn</t>
        </is>
      </c>
      <c r="O5" s="3" t="inlineStr">
        <is>
          <t>Office_RTS_Penetration_pct</t>
        </is>
      </c>
      <c r="P5" s="3" t="inlineStr">
        <is>
          <t>Residential_RTS_Penetration_pct</t>
        </is>
      </c>
      <c r="Q5" s="3" t="inlineStr">
        <is>
          <t>EV_Bike_Share_pct</t>
        </is>
      </c>
      <c r="R5" s="3" t="inlineStr">
        <is>
          <t>EV_Car_Share_pct</t>
        </is>
      </c>
      <c r="S5" s="3" t="inlineStr">
        <is>
          <t>EV_Bus_Share_pct</t>
        </is>
      </c>
      <c r="T5" s="3" t="inlineStr">
        <is>
          <t>EV_Truck_Share_pct</t>
        </is>
      </c>
      <c r="U5" s="3" t="inlineStr">
        <is>
          <t>EV_Load_TWh</t>
        </is>
      </c>
      <c r="V5" s="3" t="inlineStr">
        <is>
          <t>FUEL_Displaced_TWh</t>
        </is>
      </c>
      <c r="W5" s="3" t="inlineStr">
        <is>
          <t>Net_FinalEnergy_Saving_TWh</t>
        </is>
      </c>
      <c r="X5" s="3" t="inlineStr">
        <is>
          <t>DSM_Electricity_Saving_pct</t>
        </is>
      </c>
      <c r="Y5" s="3" t="inlineStr">
        <is>
          <t>Peak_Load_Reduction_MW</t>
        </is>
      </c>
      <c r="Z5" s="3" t="inlineStr">
        <is>
          <t>Public_Infra_Investment_USDbn</t>
        </is>
      </c>
      <c r="AA5" s="6" t="inlineStr">
        <is>
          <t>Industry_EE_Saving_pct</t>
        </is>
      </c>
      <c r="AB5" s="6" t="inlineStr">
        <is>
          <t>Services_EE_Saving_pct</t>
        </is>
      </c>
      <c r="AC5" s="6" t="inlineStr">
        <is>
          <t>Households_EE_Saving_pct</t>
        </is>
      </c>
      <c r="AD5" s="6" t="inlineStr">
        <is>
          <t>Agriculture_EE_Saving_pct</t>
        </is>
      </c>
      <c r="AE5" s="6" t="inlineStr">
        <is>
          <t>Industry_EE_Investment_USDm</t>
        </is>
      </c>
      <c r="AF5" s="6" t="inlineStr">
        <is>
          <t>Services_EE_Investment_USDm</t>
        </is>
      </c>
      <c r="AG5" s="6" t="inlineStr">
        <is>
          <t>Households_EE_Investment_USDm</t>
        </is>
      </c>
      <c r="AH5" s="6" t="inlineStr">
        <is>
          <t>Agriculture_EE_Investment_USDm</t>
        </is>
      </c>
      <c r="AI5" s="6" t="inlineStr">
        <is>
          <t>Total_EE_Investment_USDm</t>
        </is>
      </c>
    </row>
    <row r="6">
      <c r="A6" t="n">
        <v>2026</v>
      </c>
      <c r="B6" s="16" t="inlineStr">
        <is>
          <t>PM Directive 10/CT-TTg proxy</t>
        </is>
      </c>
      <c r="C6" t="n">
        <v>15</v>
      </c>
      <c r="D6" t="n">
        <v>0.141552511</v>
      </c>
      <c r="E6" t="n">
        <v>18.6</v>
      </c>
      <c r="F6" t="n">
        <v>0.5</v>
      </c>
      <c r="G6" t="n">
        <v>780</v>
      </c>
      <c r="H6" t="n">
        <v>4.29</v>
      </c>
      <c r="I6" t="n">
        <v>0.8</v>
      </c>
      <c r="J6" t="n">
        <v>3.2</v>
      </c>
      <c r="K6" t="n">
        <v>4</v>
      </c>
      <c r="L6" t="n">
        <v>86</v>
      </c>
      <c r="M6" t="n">
        <v>300</v>
      </c>
      <c r="N6" t="n">
        <v>0.72</v>
      </c>
      <c r="O6" t="n">
        <v>10</v>
      </c>
      <c r="P6" t="n">
        <v>10</v>
      </c>
      <c r="Q6" t="n">
        <v>1.5</v>
      </c>
      <c r="R6" t="n">
        <v>1.5</v>
      </c>
      <c r="S6" t="n">
        <v>3</v>
      </c>
      <c r="T6" t="n">
        <v>0.5</v>
      </c>
      <c r="U6" t="n">
        <v>1</v>
      </c>
      <c r="V6" t="n">
        <v>0.7</v>
      </c>
      <c r="W6" t="n">
        <v>0.2</v>
      </c>
      <c r="X6" t="n">
        <v>3</v>
      </c>
      <c r="Y6" t="n">
        <v>3000</v>
      </c>
      <c r="Z6" t="n">
        <v>0.3</v>
      </c>
      <c r="AA6" t="n">
        <v>2</v>
      </c>
      <c r="AB6" t="n">
        <v>1.5</v>
      </c>
      <c r="AC6" t="n">
        <v>2</v>
      </c>
      <c r="AD6" t="n">
        <v>1.5</v>
      </c>
      <c r="AE6" t="n">
        <v>180</v>
      </c>
      <c r="AF6" t="n">
        <v>38</v>
      </c>
      <c r="AG6" t="n">
        <v>80</v>
      </c>
      <c r="AH6" t="n">
        <v>70</v>
      </c>
      <c r="AI6" t="n">
        <v>368</v>
      </c>
    </row>
    <row r="7">
      <c r="A7" t="n">
        <v>2027</v>
      </c>
      <c r="B7" s="16" t="inlineStr">
        <is>
          <t>PM Directive 10/CT-TTg proxy</t>
        </is>
      </c>
      <c r="C7" t="n">
        <v>20</v>
      </c>
      <c r="D7" t="n">
        <v>0.141552511</v>
      </c>
      <c r="E7" t="n">
        <v>24.8</v>
      </c>
      <c r="F7" t="n">
        <v>1.125</v>
      </c>
      <c r="G7" t="n">
        <v>757.5</v>
      </c>
      <c r="H7" t="n">
        <v>3.7875</v>
      </c>
      <c r="I7" t="n">
        <v>1.85</v>
      </c>
      <c r="J7" t="n">
        <v>7.4</v>
      </c>
      <c r="K7" t="n">
        <v>4</v>
      </c>
      <c r="L7" t="n">
        <v>86.5</v>
      </c>
      <c r="M7" t="n">
        <v>278.75</v>
      </c>
      <c r="N7" t="n">
        <v>1.17075</v>
      </c>
      <c r="O7" t="n">
        <v>13.75</v>
      </c>
      <c r="P7" t="n">
        <v>12.5</v>
      </c>
      <c r="Q7" t="n">
        <v>3.625</v>
      </c>
      <c r="R7" t="n">
        <v>3.125</v>
      </c>
      <c r="S7" t="n">
        <v>6</v>
      </c>
      <c r="T7" t="n">
        <v>1.125</v>
      </c>
      <c r="U7" t="n">
        <v>1.75</v>
      </c>
      <c r="V7" t="n">
        <v>1.275</v>
      </c>
      <c r="W7" t="n">
        <v>0.4</v>
      </c>
      <c r="X7" t="n">
        <v>3.125</v>
      </c>
      <c r="Y7" t="n">
        <v>3125</v>
      </c>
      <c r="Z7" t="n">
        <v>0.425</v>
      </c>
      <c r="AA7" t="n">
        <v>3.35</v>
      </c>
      <c r="AB7" t="n">
        <v>2.4</v>
      </c>
      <c r="AC7" t="n">
        <v>4.4</v>
      </c>
      <c r="AD7" t="n">
        <v>3.625</v>
      </c>
      <c r="AE7" t="n">
        <v>187.5</v>
      </c>
      <c r="AF7" t="n">
        <v>40.25</v>
      </c>
      <c r="AG7" t="n">
        <v>86</v>
      </c>
      <c r="AH7" t="n">
        <v>77.5</v>
      </c>
      <c r="AI7" t="n">
        <v>391.25</v>
      </c>
    </row>
    <row r="8">
      <c r="A8" t="n">
        <v>2028</v>
      </c>
      <c r="B8" s="16" t="inlineStr">
        <is>
          <t>PM Directive 10/CT-TTg proxy</t>
        </is>
      </c>
      <c r="C8" t="n">
        <v>25</v>
      </c>
      <c r="D8" t="n">
        <v>0.141552511</v>
      </c>
      <c r="E8" t="n">
        <v>31</v>
      </c>
      <c r="F8" t="n">
        <v>1.75</v>
      </c>
      <c r="G8" t="n">
        <v>735</v>
      </c>
      <c r="H8" t="n">
        <v>3.675</v>
      </c>
      <c r="I8" t="n">
        <v>2.9</v>
      </c>
      <c r="J8" t="n">
        <v>11.6</v>
      </c>
      <c r="K8" t="n">
        <v>4</v>
      </c>
      <c r="L8" t="n">
        <v>87</v>
      </c>
      <c r="M8" t="n">
        <v>257.5</v>
      </c>
      <c r="N8" t="n">
        <v>1.0815</v>
      </c>
      <c r="O8" t="n">
        <v>17.5</v>
      </c>
      <c r="P8" t="n">
        <v>15</v>
      </c>
      <c r="Q8" t="n">
        <v>5.75</v>
      </c>
      <c r="R8" t="n">
        <v>4.75</v>
      </c>
      <c r="S8" t="n">
        <v>9</v>
      </c>
      <c r="T8" t="n">
        <v>1.75</v>
      </c>
      <c r="U8" t="n">
        <v>2.5</v>
      </c>
      <c r="V8" t="n">
        <v>1.85</v>
      </c>
      <c r="W8" t="n">
        <v>0.6</v>
      </c>
      <c r="X8" t="n">
        <v>3.25</v>
      </c>
      <c r="Y8" t="n">
        <v>3250</v>
      </c>
      <c r="Z8" t="n">
        <v>0.55</v>
      </c>
      <c r="AA8" t="n">
        <v>4.7</v>
      </c>
      <c r="AB8" t="n">
        <v>3.3</v>
      </c>
      <c r="AC8" t="n">
        <v>6.8</v>
      </c>
      <c r="AD8" t="n">
        <v>5.75</v>
      </c>
      <c r="AE8" t="n">
        <v>195</v>
      </c>
      <c r="AF8" t="n">
        <v>42.5</v>
      </c>
      <c r="AG8" t="n">
        <v>92</v>
      </c>
      <c r="AH8" t="n">
        <v>85</v>
      </c>
      <c r="AI8" t="n">
        <v>414.5</v>
      </c>
    </row>
    <row r="9">
      <c r="A9" t="n">
        <v>2029</v>
      </c>
      <c r="B9" s="16" t="inlineStr">
        <is>
          <t>PM Directive 10/CT-TTg proxy</t>
        </is>
      </c>
      <c r="C9" t="n">
        <v>30</v>
      </c>
      <c r="D9" t="n">
        <v>0.141552511</v>
      </c>
      <c r="E9" t="n">
        <v>37.2</v>
      </c>
      <c r="F9" t="n">
        <v>2.375</v>
      </c>
      <c r="G9" t="n">
        <v>712.5</v>
      </c>
      <c r="H9" t="n">
        <v>3.5625</v>
      </c>
      <c r="I9" t="n">
        <v>3.95</v>
      </c>
      <c r="J9" t="n">
        <v>15.8</v>
      </c>
      <c r="K9" t="n">
        <v>4</v>
      </c>
      <c r="L9" t="n">
        <v>87.5</v>
      </c>
      <c r="M9" t="n">
        <v>236.25</v>
      </c>
      <c r="N9" t="n">
        <v>0.99225</v>
      </c>
      <c r="O9" t="n">
        <v>21.25</v>
      </c>
      <c r="P9" t="n">
        <v>17.5</v>
      </c>
      <c r="Q9" t="n">
        <v>7.875</v>
      </c>
      <c r="R9" t="n">
        <v>6.375</v>
      </c>
      <c r="S9" t="n">
        <v>12</v>
      </c>
      <c r="T9" t="n">
        <v>2.375</v>
      </c>
      <c r="U9" t="n">
        <v>3.25</v>
      </c>
      <c r="V9" t="n">
        <v>2.425</v>
      </c>
      <c r="W9" t="n">
        <v>0.8</v>
      </c>
      <c r="X9" t="n">
        <v>3.375</v>
      </c>
      <c r="Y9" t="n">
        <v>3375</v>
      </c>
      <c r="Z9" t="n">
        <v>0.675</v>
      </c>
      <c r="AA9" t="n">
        <v>6.05</v>
      </c>
      <c r="AB9" t="n">
        <v>4.2</v>
      </c>
      <c r="AC9" t="n">
        <v>9.199999999999999</v>
      </c>
      <c r="AD9" t="n">
        <v>7.875</v>
      </c>
      <c r="AE9" t="n">
        <v>202.5</v>
      </c>
      <c r="AF9" t="n">
        <v>44.75</v>
      </c>
      <c r="AG9" t="n">
        <v>98</v>
      </c>
      <c r="AH9" t="n">
        <v>92.5</v>
      </c>
      <c r="AI9" t="n">
        <v>437.75</v>
      </c>
    </row>
    <row r="10">
      <c r="A10" t="n">
        <v>2030</v>
      </c>
      <c r="B10" s="16" t="inlineStr">
        <is>
          <t>PM Directive 10/CT-TTg proxy</t>
        </is>
      </c>
      <c r="C10" t="n">
        <v>35</v>
      </c>
      <c r="D10" t="n">
        <v>0.141552511</v>
      </c>
      <c r="E10" t="n">
        <v>43.4</v>
      </c>
      <c r="F10" t="n">
        <v>3</v>
      </c>
      <c r="G10" t="n">
        <v>690</v>
      </c>
      <c r="H10" t="n">
        <v>3.45</v>
      </c>
      <c r="I10" t="n">
        <v>5</v>
      </c>
      <c r="J10" t="n">
        <v>20</v>
      </c>
      <c r="K10" t="n">
        <v>4</v>
      </c>
      <c r="L10" t="n">
        <v>88</v>
      </c>
      <c r="M10" t="n">
        <v>215</v>
      </c>
      <c r="N10" t="n">
        <v>0.903</v>
      </c>
      <c r="O10" t="n">
        <v>25</v>
      </c>
      <c r="P10" t="n">
        <v>20</v>
      </c>
      <c r="Q10" t="n">
        <v>10</v>
      </c>
      <c r="R10" t="n">
        <v>8</v>
      </c>
      <c r="S10" t="n">
        <v>15</v>
      </c>
      <c r="T10" t="n">
        <v>3</v>
      </c>
      <c r="U10" t="n">
        <v>4</v>
      </c>
      <c r="V10" t="n">
        <v>3</v>
      </c>
      <c r="W10" t="n">
        <v>1</v>
      </c>
      <c r="X10" t="n">
        <v>3.5</v>
      </c>
      <c r="Y10" t="n">
        <v>3500</v>
      </c>
      <c r="Z10" t="n">
        <v>0.8</v>
      </c>
      <c r="AA10" t="n">
        <v>7.4</v>
      </c>
      <c r="AB10" t="n">
        <v>5.1</v>
      </c>
      <c r="AC10" t="n">
        <v>11.6</v>
      </c>
      <c r="AD10" t="n">
        <v>10</v>
      </c>
      <c r="AE10" t="n">
        <v>210</v>
      </c>
      <c r="AF10" t="n">
        <v>47</v>
      </c>
      <c r="AG10" t="n">
        <v>104</v>
      </c>
      <c r="AH10" t="n">
        <v>100</v>
      </c>
      <c r="AI10" t="n">
        <v>461</v>
      </c>
    </row>
    <row r="11">
      <c r="A11" t="n">
        <v>2031</v>
      </c>
      <c r="B11" s="16" t="inlineStr">
        <is>
          <t>PM Directive 10/CT-TTg proxy</t>
        </is>
      </c>
      <c r="C11" t="n">
        <v>39</v>
      </c>
      <c r="D11" t="n">
        <v>0.141552511</v>
      </c>
      <c r="E11" t="n">
        <v>48.36</v>
      </c>
      <c r="F11" t="n">
        <v>3.4</v>
      </c>
      <c r="G11" t="n">
        <v>678</v>
      </c>
      <c r="H11" t="n">
        <v>2.712</v>
      </c>
      <c r="I11" t="n">
        <v>6</v>
      </c>
      <c r="J11" t="n">
        <v>24</v>
      </c>
      <c r="K11" t="n">
        <v>4</v>
      </c>
      <c r="L11" t="n">
        <v>88.09999999999999</v>
      </c>
      <c r="M11" t="n">
        <v>208.5</v>
      </c>
      <c r="N11" t="n">
        <v>0.834</v>
      </c>
      <c r="O11" t="n">
        <v>26.5</v>
      </c>
      <c r="P11" t="n">
        <v>21.5</v>
      </c>
      <c r="Q11" t="n">
        <v>12</v>
      </c>
      <c r="R11" t="n">
        <v>9.699999999999999</v>
      </c>
      <c r="S11" t="n">
        <v>18</v>
      </c>
      <c r="T11" t="n">
        <v>3.7</v>
      </c>
      <c r="U11" t="n">
        <v>5.1</v>
      </c>
      <c r="V11" t="n">
        <v>3.9</v>
      </c>
      <c r="W11" t="n">
        <v>1.2</v>
      </c>
      <c r="X11" t="n">
        <v>3.525</v>
      </c>
      <c r="Y11" t="n">
        <v>3600</v>
      </c>
      <c r="Z11" t="n">
        <v>0.8</v>
      </c>
      <c r="AA11" t="n">
        <v>7.56</v>
      </c>
      <c r="AB11" t="n">
        <v>5.21</v>
      </c>
      <c r="AC11" t="n">
        <v>11.74</v>
      </c>
      <c r="AD11" t="n">
        <v>10.1</v>
      </c>
      <c r="AE11" t="n">
        <v>211.5</v>
      </c>
      <c r="AF11" t="n">
        <v>47.5</v>
      </c>
      <c r="AG11" t="n">
        <v>104.8</v>
      </c>
      <c r="AH11" t="n">
        <v>100.8</v>
      </c>
      <c r="AI11" t="n">
        <v>464.6</v>
      </c>
    </row>
    <row r="12">
      <c r="A12" t="n">
        <v>2032</v>
      </c>
      <c r="B12" s="16" t="inlineStr">
        <is>
          <t>PM Directive 10/CT-TTg proxy</t>
        </is>
      </c>
      <c r="C12" t="n">
        <v>43</v>
      </c>
      <c r="D12" t="n">
        <v>0.141552511</v>
      </c>
      <c r="E12" t="n">
        <v>53.32</v>
      </c>
      <c r="F12" t="n">
        <v>3.8</v>
      </c>
      <c r="G12" t="n">
        <v>666</v>
      </c>
      <c r="H12" t="n">
        <v>2.664</v>
      </c>
      <c r="I12" t="n">
        <v>7</v>
      </c>
      <c r="J12" t="n">
        <v>28</v>
      </c>
      <c r="K12" t="n">
        <v>4</v>
      </c>
      <c r="L12" t="n">
        <v>88.2</v>
      </c>
      <c r="M12" t="n">
        <v>202</v>
      </c>
      <c r="N12" t="n">
        <v>0.8080000000000001</v>
      </c>
      <c r="O12" t="n">
        <v>28</v>
      </c>
      <c r="P12" t="n">
        <v>23</v>
      </c>
      <c r="Q12" t="n">
        <v>14</v>
      </c>
      <c r="R12" t="n">
        <v>11.4</v>
      </c>
      <c r="S12" t="n">
        <v>21</v>
      </c>
      <c r="T12" t="n">
        <v>4.4</v>
      </c>
      <c r="U12" t="n">
        <v>6.2</v>
      </c>
      <c r="V12" t="n">
        <v>4.8</v>
      </c>
      <c r="W12" t="n">
        <v>1.4</v>
      </c>
      <c r="X12" t="n">
        <v>3.55</v>
      </c>
      <c r="Y12" t="n">
        <v>3700</v>
      </c>
      <c r="Z12" t="n">
        <v>0.8</v>
      </c>
      <c r="AA12" t="n">
        <v>7.72</v>
      </c>
      <c r="AB12" t="n">
        <v>5.32</v>
      </c>
      <c r="AC12" t="n">
        <v>11.88</v>
      </c>
      <c r="AD12" t="n">
        <v>10.2</v>
      </c>
      <c r="AE12" t="n">
        <v>213</v>
      </c>
      <c r="AF12" t="n">
        <v>48</v>
      </c>
      <c r="AG12" t="n">
        <v>105.6</v>
      </c>
      <c r="AH12" t="n">
        <v>101.6</v>
      </c>
      <c r="AI12" t="n">
        <v>468.2</v>
      </c>
    </row>
    <row r="13">
      <c r="A13" t="n">
        <v>2033</v>
      </c>
      <c r="B13" s="16" t="inlineStr">
        <is>
          <t>PM Directive 10/CT-TTg proxy</t>
        </is>
      </c>
      <c r="C13" t="n">
        <v>47</v>
      </c>
      <c r="D13" t="n">
        <v>0.141552511</v>
      </c>
      <c r="E13" t="n">
        <v>58.28</v>
      </c>
      <c r="F13" t="n">
        <v>4.2</v>
      </c>
      <c r="G13" t="n">
        <v>654</v>
      </c>
      <c r="H13" t="n">
        <v>2.616</v>
      </c>
      <c r="I13" t="n">
        <v>8</v>
      </c>
      <c r="J13" t="n">
        <v>32</v>
      </c>
      <c r="K13" t="n">
        <v>4</v>
      </c>
      <c r="L13" t="n">
        <v>88.3</v>
      </c>
      <c r="M13" t="n">
        <v>195.5</v>
      </c>
      <c r="N13" t="n">
        <v>0.782</v>
      </c>
      <c r="O13" t="n">
        <v>29.5</v>
      </c>
      <c r="P13" t="n">
        <v>24.5</v>
      </c>
      <c r="Q13" t="n">
        <v>16</v>
      </c>
      <c r="R13" t="n">
        <v>13.1</v>
      </c>
      <c r="S13" t="n">
        <v>24</v>
      </c>
      <c r="T13" t="n">
        <v>5.1</v>
      </c>
      <c r="U13" t="n">
        <v>7.3</v>
      </c>
      <c r="V13" t="n">
        <v>5.7</v>
      </c>
      <c r="W13" t="n">
        <v>1.6</v>
      </c>
      <c r="X13" t="n">
        <v>3.575</v>
      </c>
      <c r="Y13" t="n">
        <v>3800</v>
      </c>
      <c r="Z13" t="n">
        <v>0.8</v>
      </c>
      <c r="AA13" t="n">
        <v>7.88</v>
      </c>
      <c r="AB13" t="n">
        <v>5.43</v>
      </c>
      <c r="AC13" t="n">
        <v>12.02</v>
      </c>
      <c r="AD13" t="n">
        <v>10.3</v>
      </c>
      <c r="AE13" t="n">
        <v>214.5</v>
      </c>
      <c r="AF13" t="n">
        <v>48.5</v>
      </c>
      <c r="AG13" t="n">
        <v>106.4</v>
      </c>
      <c r="AH13" t="n">
        <v>102.4</v>
      </c>
      <c r="AI13" t="n">
        <v>471.8</v>
      </c>
    </row>
    <row r="14">
      <c r="A14" t="n">
        <v>2034</v>
      </c>
      <c r="B14" s="16" t="inlineStr">
        <is>
          <t>PM Directive 10/CT-TTg proxy</t>
        </is>
      </c>
      <c r="C14" t="n">
        <v>51</v>
      </c>
      <c r="D14" t="n">
        <v>0.141552511</v>
      </c>
      <c r="E14" t="n">
        <v>63.24</v>
      </c>
      <c r="F14" t="n">
        <v>4.6</v>
      </c>
      <c r="G14" t="n">
        <v>642</v>
      </c>
      <c r="H14" t="n">
        <v>2.568</v>
      </c>
      <c r="I14" t="n">
        <v>9</v>
      </c>
      <c r="J14" t="n">
        <v>36</v>
      </c>
      <c r="K14" t="n">
        <v>4</v>
      </c>
      <c r="L14" t="n">
        <v>88.40000000000001</v>
      </c>
      <c r="M14" t="n">
        <v>189</v>
      </c>
      <c r="N14" t="n">
        <v>0.756</v>
      </c>
      <c r="O14" t="n">
        <v>31</v>
      </c>
      <c r="P14" t="n">
        <v>26</v>
      </c>
      <c r="Q14" t="n">
        <v>18</v>
      </c>
      <c r="R14" t="n">
        <v>14.8</v>
      </c>
      <c r="S14" t="n">
        <v>27</v>
      </c>
      <c r="T14" t="n">
        <v>5.8</v>
      </c>
      <c r="U14" t="n">
        <v>8.4</v>
      </c>
      <c r="V14" t="n">
        <v>6.6</v>
      </c>
      <c r="W14" t="n">
        <v>1.8</v>
      </c>
      <c r="X14" t="n">
        <v>3.6</v>
      </c>
      <c r="Y14" t="n">
        <v>3900</v>
      </c>
      <c r="Z14" t="n">
        <v>0.8</v>
      </c>
      <c r="AA14" t="n">
        <v>8.039999999999999</v>
      </c>
      <c r="AB14" t="n">
        <v>5.54</v>
      </c>
      <c r="AC14" t="n">
        <v>12.16</v>
      </c>
      <c r="AD14" t="n">
        <v>10.4</v>
      </c>
      <c r="AE14" t="n">
        <v>216</v>
      </c>
      <c r="AF14" t="n">
        <v>49</v>
      </c>
      <c r="AG14" t="n">
        <v>107.2</v>
      </c>
      <c r="AH14" t="n">
        <v>103.2</v>
      </c>
      <c r="AI14" t="n">
        <v>475.4</v>
      </c>
    </row>
    <row r="15">
      <c r="A15" t="n">
        <v>2035</v>
      </c>
      <c r="B15" s="16" t="inlineStr">
        <is>
          <t>PM Directive 10/CT-TTg proxy</t>
        </is>
      </c>
      <c r="C15" t="n">
        <v>55</v>
      </c>
      <c r="D15" t="n">
        <v>0.141552511</v>
      </c>
      <c r="E15" t="n">
        <v>68.2</v>
      </c>
      <c r="F15" t="n">
        <v>5</v>
      </c>
      <c r="G15" t="n">
        <v>630</v>
      </c>
      <c r="H15" t="n">
        <v>2.52</v>
      </c>
      <c r="I15" t="n">
        <v>10</v>
      </c>
      <c r="J15" t="n">
        <v>40</v>
      </c>
      <c r="K15" t="n">
        <v>4</v>
      </c>
      <c r="L15" t="n">
        <v>88.5</v>
      </c>
      <c r="M15" t="n">
        <v>182.5</v>
      </c>
      <c r="N15" t="n">
        <v>0.73</v>
      </c>
      <c r="O15" t="n">
        <v>32.5</v>
      </c>
      <c r="P15" t="n">
        <v>27.5</v>
      </c>
      <c r="Q15" t="n">
        <v>20</v>
      </c>
      <c r="R15" t="n">
        <v>16.5</v>
      </c>
      <c r="S15" t="n">
        <v>30</v>
      </c>
      <c r="T15" t="n">
        <v>6.5</v>
      </c>
      <c r="U15" t="n">
        <v>9.5</v>
      </c>
      <c r="V15" t="n">
        <v>7.5</v>
      </c>
      <c r="W15" t="n">
        <v>2</v>
      </c>
      <c r="X15" t="n">
        <v>3.625</v>
      </c>
      <c r="Y15" t="n">
        <v>4000</v>
      </c>
      <c r="Z15" t="n">
        <v>0.8</v>
      </c>
      <c r="AA15" t="n">
        <v>8.199999999999999</v>
      </c>
      <c r="AB15" t="n">
        <v>5.65</v>
      </c>
      <c r="AC15" t="n">
        <v>12.3</v>
      </c>
      <c r="AD15" t="n">
        <v>10.5</v>
      </c>
      <c r="AE15" t="n">
        <v>217.5</v>
      </c>
      <c r="AF15" t="n">
        <v>49.5</v>
      </c>
      <c r="AG15" t="n">
        <v>108</v>
      </c>
      <c r="AH15" t="n">
        <v>104</v>
      </c>
      <c r="AI15" t="n">
        <v>479</v>
      </c>
    </row>
    <row r="16">
      <c r="A16" t="n">
        <v>2036</v>
      </c>
      <c r="B16" s="16" t="inlineStr">
        <is>
          <t>PM Directive 10/CT-TTg proxy</t>
        </is>
      </c>
      <c r="C16" t="n">
        <v>59</v>
      </c>
      <c r="D16" t="n">
        <v>0.141552511</v>
      </c>
      <c r="E16" t="n">
        <v>73.16</v>
      </c>
      <c r="F16" t="n">
        <v>5.4</v>
      </c>
      <c r="G16" t="n">
        <v>618</v>
      </c>
      <c r="H16" t="n">
        <v>2.472</v>
      </c>
      <c r="I16" t="n">
        <v>11</v>
      </c>
      <c r="J16" t="n">
        <v>44</v>
      </c>
      <c r="K16" t="n">
        <v>4</v>
      </c>
      <c r="L16" t="n">
        <v>88.59999999999999</v>
      </c>
      <c r="M16" t="n">
        <v>176</v>
      </c>
      <c r="N16" t="n">
        <v>0.704</v>
      </c>
      <c r="O16" t="n">
        <v>34</v>
      </c>
      <c r="P16" t="n">
        <v>29</v>
      </c>
      <c r="Q16" t="n">
        <v>22</v>
      </c>
      <c r="R16" t="n">
        <v>18.2</v>
      </c>
      <c r="S16" t="n">
        <v>33</v>
      </c>
      <c r="T16" t="n">
        <v>7.2</v>
      </c>
      <c r="U16" t="n">
        <v>10.6</v>
      </c>
      <c r="V16" t="n">
        <v>8.4</v>
      </c>
      <c r="W16" t="n">
        <v>2.2</v>
      </c>
      <c r="X16" t="n">
        <v>3.65</v>
      </c>
      <c r="Y16" t="n">
        <v>4100</v>
      </c>
      <c r="Z16" t="n">
        <v>0.8</v>
      </c>
      <c r="AA16" t="n">
        <v>8.359999999999999</v>
      </c>
      <c r="AB16" t="n">
        <v>5.76</v>
      </c>
      <c r="AC16" t="n">
        <v>12.44</v>
      </c>
      <c r="AD16" t="n">
        <v>10.6</v>
      </c>
      <c r="AE16" t="n">
        <v>219</v>
      </c>
      <c r="AF16" t="n">
        <v>50</v>
      </c>
      <c r="AG16" t="n">
        <v>108.8</v>
      </c>
      <c r="AH16" t="n">
        <v>104.8</v>
      </c>
      <c r="AI16" t="n">
        <v>482.6</v>
      </c>
    </row>
    <row r="17">
      <c r="A17" t="n">
        <v>2037</v>
      </c>
      <c r="B17" s="16" t="inlineStr">
        <is>
          <t>PM Directive 10/CT-TTg proxy</t>
        </is>
      </c>
      <c r="C17" t="n">
        <v>63</v>
      </c>
      <c r="D17" t="n">
        <v>0.141552511</v>
      </c>
      <c r="E17" t="n">
        <v>78.12</v>
      </c>
      <c r="F17" t="n">
        <v>5.8</v>
      </c>
      <c r="G17" t="n">
        <v>606</v>
      </c>
      <c r="H17" t="n">
        <v>2.424</v>
      </c>
      <c r="I17" t="n">
        <v>12</v>
      </c>
      <c r="J17" t="n">
        <v>48</v>
      </c>
      <c r="K17" t="n">
        <v>4</v>
      </c>
      <c r="L17" t="n">
        <v>88.7</v>
      </c>
      <c r="M17" t="n">
        <v>169.5</v>
      </c>
      <c r="N17" t="n">
        <v>0.678</v>
      </c>
      <c r="O17" t="n">
        <v>35.5</v>
      </c>
      <c r="P17" t="n">
        <v>30.5</v>
      </c>
      <c r="Q17" t="n">
        <v>24</v>
      </c>
      <c r="R17" t="n">
        <v>19.9</v>
      </c>
      <c r="S17" t="n">
        <v>36</v>
      </c>
      <c r="T17" t="n">
        <v>7.9</v>
      </c>
      <c r="U17" t="n">
        <v>11.7</v>
      </c>
      <c r="V17" t="n">
        <v>9.300000000000001</v>
      </c>
      <c r="W17" t="n">
        <v>2.4</v>
      </c>
      <c r="X17" t="n">
        <v>3.675</v>
      </c>
      <c r="Y17" t="n">
        <v>4200</v>
      </c>
      <c r="Z17" t="n">
        <v>0.8</v>
      </c>
      <c r="AA17" t="n">
        <v>8.52</v>
      </c>
      <c r="AB17" t="n">
        <v>5.87</v>
      </c>
      <c r="AC17" t="n">
        <v>12.58</v>
      </c>
      <c r="AD17" t="n">
        <v>10.7</v>
      </c>
      <c r="AE17" t="n">
        <v>220.5</v>
      </c>
      <c r="AF17" t="n">
        <v>50.5</v>
      </c>
      <c r="AG17" t="n">
        <v>109.6</v>
      </c>
      <c r="AH17" t="n">
        <v>105.6</v>
      </c>
      <c r="AI17" t="n">
        <v>486.2</v>
      </c>
    </row>
    <row r="18">
      <c r="A18" t="n">
        <v>2038</v>
      </c>
      <c r="B18" s="16" t="inlineStr">
        <is>
          <t>PM Directive 10/CT-TTg proxy</t>
        </is>
      </c>
      <c r="C18" t="n">
        <v>67</v>
      </c>
      <c r="D18" t="n">
        <v>0.141552511</v>
      </c>
      <c r="E18" t="n">
        <v>83.08</v>
      </c>
      <c r="F18" t="n">
        <v>6.2</v>
      </c>
      <c r="G18" t="n">
        <v>594</v>
      </c>
      <c r="H18" t="n">
        <v>2.376</v>
      </c>
      <c r="I18" t="n">
        <v>13</v>
      </c>
      <c r="J18" t="n">
        <v>52</v>
      </c>
      <c r="K18" t="n">
        <v>4</v>
      </c>
      <c r="L18" t="n">
        <v>88.8</v>
      </c>
      <c r="M18" t="n">
        <v>163</v>
      </c>
      <c r="N18" t="n">
        <v>0.652</v>
      </c>
      <c r="O18" t="n">
        <v>37</v>
      </c>
      <c r="P18" t="n">
        <v>32</v>
      </c>
      <c r="Q18" t="n">
        <v>26</v>
      </c>
      <c r="R18" t="n">
        <v>21.6</v>
      </c>
      <c r="S18" t="n">
        <v>39</v>
      </c>
      <c r="T18" t="n">
        <v>8.6</v>
      </c>
      <c r="U18" t="n">
        <v>12.8</v>
      </c>
      <c r="V18" t="n">
        <v>10.2</v>
      </c>
      <c r="W18" t="n">
        <v>2.6</v>
      </c>
      <c r="X18" t="n">
        <v>3.7</v>
      </c>
      <c r="Y18" t="n">
        <v>4300</v>
      </c>
      <c r="Z18" t="n">
        <v>0.8</v>
      </c>
      <c r="AA18" t="n">
        <v>8.68</v>
      </c>
      <c r="AB18" t="n">
        <v>5.98</v>
      </c>
      <c r="AC18" t="n">
        <v>12.72</v>
      </c>
      <c r="AD18" t="n">
        <v>10.8</v>
      </c>
      <c r="AE18" t="n">
        <v>222</v>
      </c>
      <c r="AF18" t="n">
        <v>51</v>
      </c>
      <c r="AG18" t="n">
        <v>110.4</v>
      </c>
      <c r="AH18" t="n">
        <v>106.4</v>
      </c>
      <c r="AI18" t="n">
        <v>489.8</v>
      </c>
    </row>
    <row r="19">
      <c r="A19" t="n">
        <v>2039</v>
      </c>
      <c r="B19" s="16" t="inlineStr">
        <is>
          <t>PM Directive 10/CT-TTg proxy</t>
        </is>
      </c>
      <c r="C19" t="n">
        <v>71</v>
      </c>
      <c r="D19" t="n">
        <v>0.141552511</v>
      </c>
      <c r="E19" t="n">
        <v>88.04000000000001</v>
      </c>
      <c r="F19" t="n">
        <v>6.6</v>
      </c>
      <c r="G19" t="n">
        <v>582</v>
      </c>
      <c r="H19" t="n">
        <v>2.328</v>
      </c>
      <c r="I19" t="n">
        <v>14</v>
      </c>
      <c r="J19" t="n">
        <v>56</v>
      </c>
      <c r="K19" t="n">
        <v>4</v>
      </c>
      <c r="L19" t="n">
        <v>88.90000000000001</v>
      </c>
      <c r="M19" t="n">
        <v>156.5</v>
      </c>
      <c r="N19" t="n">
        <v>0.626</v>
      </c>
      <c r="O19" t="n">
        <v>38.5</v>
      </c>
      <c r="P19" t="n">
        <v>33.5</v>
      </c>
      <c r="Q19" t="n">
        <v>28</v>
      </c>
      <c r="R19" t="n">
        <v>23.3</v>
      </c>
      <c r="S19" t="n">
        <v>42</v>
      </c>
      <c r="T19" t="n">
        <v>9.300000000000001</v>
      </c>
      <c r="U19" t="n">
        <v>13.9</v>
      </c>
      <c r="V19" t="n">
        <v>11.1</v>
      </c>
      <c r="W19" t="n">
        <v>2.8</v>
      </c>
      <c r="X19" t="n">
        <v>3.725</v>
      </c>
      <c r="Y19" t="n">
        <v>4400</v>
      </c>
      <c r="Z19" t="n">
        <v>0.8</v>
      </c>
      <c r="AA19" t="n">
        <v>8.84</v>
      </c>
      <c r="AB19" t="n">
        <v>6.09</v>
      </c>
      <c r="AC19" t="n">
        <v>12.86</v>
      </c>
      <c r="AD19" t="n">
        <v>10.9</v>
      </c>
      <c r="AE19" t="n">
        <v>223.5</v>
      </c>
      <c r="AF19" t="n">
        <v>51.5</v>
      </c>
      <c r="AG19" t="n">
        <v>111.2</v>
      </c>
      <c r="AH19" t="n">
        <v>107.2</v>
      </c>
      <c r="AI19" t="n">
        <v>493.4</v>
      </c>
    </row>
    <row r="20">
      <c r="A20" t="n">
        <v>2040</v>
      </c>
      <c r="B20" s="16" t="inlineStr">
        <is>
          <t>PM Directive 10/CT-TTg proxy</t>
        </is>
      </c>
      <c r="C20" t="n">
        <v>75</v>
      </c>
      <c r="D20" t="n">
        <v>0.141552511</v>
      </c>
      <c r="E20" t="n">
        <v>93</v>
      </c>
      <c r="F20" t="n">
        <v>7</v>
      </c>
      <c r="G20" t="n">
        <v>570</v>
      </c>
      <c r="H20" t="n">
        <v>2.28</v>
      </c>
      <c r="I20" t="n">
        <v>15</v>
      </c>
      <c r="J20" t="n">
        <v>60</v>
      </c>
      <c r="K20" t="n">
        <v>4</v>
      </c>
      <c r="L20" t="n">
        <v>89</v>
      </c>
      <c r="M20" t="n">
        <v>150</v>
      </c>
      <c r="N20" t="n">
        <v>0.6</v>
      </c>
      <c r="O20" t="n">
        <v>40</v>
      </c>
      <c r="P20" t="n">
        <v>35</v>
      </c>
      <c r="Q20" t="n">
        <v>30</v>
      </c>
      <c r="R20" t="n">
        <v>25</v>
      </c>
      <c r="S20" t="n">
        <v>45</v>
      </c>
      <c r="T20" t="n">
        <v>10</v>
      </c>
      <c r="U20" t="n">
        <v>15</v>
      </c>
      <c r="V20" t="n">
        <v>12</v>
      </c>
      <c r="W20" t="n">
        <v>3</v>
      </c>
      <c r="X20" t="n">
        <v>3.75</v>
      </c>
      <c r="Y20" t="n">
        <v>4500</v>
      </c>
      <c r="Z20" t="n">
        <v>0.8</v>
      </c>
      <c r="AA20" t="n">
        <v>9</v>
      </c>
      <c r="AB20" t="n">
        <v>6.2</v>
      </c>
      <c r="AC20" t="n">
        <v>13</v>
      </c>
      <c r="AD20" t="n">
        <v>11</v>
      </c>
      <c r="AE20" t="n">
        <v>225</v>
      </c>
      <c r="AF20" t="n">
        <v>52</v>
      </c>
      <c r="AG20" t="n">
        <v>112</v>
      </c>
      <c r="AH20" t="n">
        <v>108</v>
      </c>
      <c r="AI20" t="n">
        <v>497</v>
      </c>
    </row>
    <row r="21">
      <c r="A21" t="n">
        <v>2041</v>
      </c>
      <c r="B21" s="16" t="inlineStr">
        <is>
          <t>PM Directive 10/CT-TTg proxy</t>
        </is>
      </c>
      <c r="C21" t="n">
        <v>78.5</v>
      </c>
      <c r="D21" t="n">
        <v>0.141552511</v>
      </c>
      <c r="E21" t="n">
        <v>97.34</v>
      </c>
      <c r="F21" t="n">
        <v>7.3</v>
      </c>
      <c r="G21" t="n">
        <v>563</v>
      </c>
      <c r="H21" t="n">
        <v>1.9705</v>
      </c>
      <c r="I21" t="n">
        <v>16.5</v>
      </c>
      <c r="J21" t="n">
        <v>66</v>
      </c>
      <c r="K21" t="n">
        <v>4</v>
      </c>
      <c r="L21" t="n">
        <v>89.09999999999999</v>
      </c>
      <c r="M21" t="n">
        <v>147</v>
      </c>
      <c r="N21" t="n">
        <v>0.882</v>
      </c>
      <c r="O21" t="n">
        <v>41</v>
      </c>
      <c r="P21" t="n">
        <v>36</v>
      </c>
      <c r="Q21" t="n">
        <v>33</v>
      </c>
      <c r="R21" t="n">
        <v>28</v>
      </c>
      <c r="S21" t="n">
        <v>48.5</v>
      </c>
      <c r="T21" t="n">
        <v>12</v>
      </c>
      <c r="U21" t="n">
        <v>16.7</v>
      </c>
      <c r="V21" t="n">
        <v>13.6</v>
      </c>
      <c r="W21" t="n">
        <v>3.3</v>
      </c>
      <c r="X21" t="n">
        <v>3.775</v>
      </c>
      <c r="Y21" t="n">
        <v>4550</v>
      </c>
      <c r="Z21" t="n">
        <v>0.78</v>
      </c>
      <c r="AA21" t="n">
        <v>9.1</v>
      </c>
      <c r="AB21" t="n">
        <v>6.28</v>
      </c>
      <c r="AC21" t="n">
        <v>13.1</v>
      </c>
      <c r="AD21" t="n">
        <v>11.1</v>
      </c>
      <c r="AE21" t="n">
        <v>225.5</v>
      </c>
      <c r="AF21" t="n">
        <v>52.3</v>
      </c>
      <c r="AG21" t="n">
        <v>112.6</v>
      </c>
      <c r="AH21" t="n">
        <v>108.4</v>
      </c>
      <c r="AI21" t="n">
        <v>498.8</v>
      </c>
    </row>
    <row r="22">
      <c r="A22" t="n">
        <v>2042</v>
      </c>
      <c r="B22" s="16" t="inlineStr">
        <is>
          <t>PM Directive 10/CT-TTg proxy</t>
        </is>
      </c>
      <c r="C22" t="n">
        <v>82</v>
      </c>
      <c r="D22" t="n">
        <v>0.141552511</v>
      </c>
      <c r="E22" t="n">
        <v>101.68</v>
      </c>
      <c r="F22" t="n">
        <v>7.6</v>
      </c>
      <c r="G22" t="n">
        <v>556</v>
      </c>
      <c r="H22" t="n">
        <v>1.946</v>
      </c>
      <c r="I22" t="n">
        <v>18</v>
      </c>
      <c r="J22" t="n">
        <v>72</v>
      </c>
      <c r="K22" t="n">
        <v>4</v>
      </c>
      <c r="L22" t="n">
        <v>89.2</v>
      </c>
      <c r="M22" t="n">
        <v>144</v>
      </c>
      <c r="N22" t="n">
        <v>0.864</v>
      </c>
      <c r="O22" t="n">
        <v>42</v>
      </c>
      <c r="P22" t="n">
        <v>37</v>
      </c>
      <c r="Q22" t="n">
        <v>36</v>
      </c>
      <c r="R22" t="n">
        <v>31</v>
      </c>
      <c r="S22" t="n">
        <v>52</v>
      </c>
      <c r="T22" t="n">
        <v>14</v>
      </c>
      <c r="U22" t="n">
        <v>18.4</v>
      </c>
      <c r="V22" t="n">
        <v>15.2</v>
      </c>
      <c r="W22" t="n">
        <v>3.6</v>
      </c>
      <c r="X22" t="n">
        <v>3.8</v>
      </c>
      <c r="Y22" t="n">
        <v>4600</v>
      </c>
      <c r="Z22" t="n">
        <v>0.76</v>
      </c>
      <c r="AA22" t="n">
        <v>9.199999999999999</v>
      </c>
      <c r="AB22" t="n">
        <v>6.36</v>
      </c>
      <c r="AC22" t="n">
        <v>13.2</v>
      </c>
      <c r="AD22" t="n">
        <v>11.2</v>
      </c>
      <c r="AE22" t="n">
        <v>226</v>
      </c>
      <c r="AF22" t="n">
        <v>52.6</v>
      </c>
      <c r="AG22" t="n">
        <v>113.2</v>
      </c>
      <c r="AH22" t="n">
        <v>108.8</v>
      </c>
      <c r="AI22" t="n">
        <v>500.6</v>
      </c>
    </row>
    <row r="23">
      <c r="A23" t="n">
        <v>2043</v>
      </c>
      <c r="B23" s="16" t="inlineStr">
        <is>
          <t>PM Directive 10/CT-TTg proxy</t>
        </is>
      </c>
      <c r="C23" t="n">
        <v>85.5</v>
      </c>
      <c r="D23" t="n">
        <v>0.141552511</v>
      </c>
      <c r="E23" t="n">
        <v>106.02</v>
      </c>
      <c r="F23" t="n">
        <v>7.9</v>
      </c>
      <c r="G23" t="n">
        <v>549</v>
      </c>
      <c r="H23" t="n">
        <v>1.9215</v>
      </c>
      <c r="I23" t="n">
        <v>19.5</v>
      </c>
      <c r="J23" t="n">
        <v>78</v>
      </c>
      <c r="K23" t="n">
        <v>4</v>
      </c>
      <c r="L23" t="n">
        <v>89.3</v>
      </c>
      <c r="M23" t="n">
        <v>141</v>
      </c>
      <c r="N23" t="n">
        <v>0.846</v>
      </c>
      <c r="O23" t="n">
        <v>43</v>
      </c>
      <c r="P23" t="n">
        <v>38</v>
      </c>
      <c r="Q23" t="n">
        <v>39</v>
      </c>
      <c r="R23" t="n">
        <v>34</v>
      </c>
      <c r="S23" t="n">
        <v>55.5</v>
      </c>
      <c r="T23" t="n">
        <v>16</v>
      </c>
      <c r="U23" t="n">
        <v>20.1</v>
      </c>
      <c r="V23" t="n">
        <v>16.8</v>
      </c>
      <c r="W23" t="n">
        <v>3.9</v>
      </c>
      <c r="X23" t="n">
        <v>3.825</v>
      </c>
      <c r="Y23" t="n">
        <v>4650</v>
      </c>
      <c r="Z23" t="n">
        <v>0.74</v>
      </c>
      <c r="AA23" t="n">
        <v>9.300000000000001</v>
      </c>
      <c r="AB23" t="n">
        <v>6.44</v>
      </c>
      <c r="AC23" t="n">
        <v>13.3</v>
      </c>
      <c r="AD23" t="n">
        <v>11.3</v>
      </c>
      <c r="AE23" t="n">
        <v>226.5</v>
      </c>
      <c r="AF23" t="n">
        <v>52.9</v>
      </c>
      <c r="AG23" t="n">
        <v>113.8</v>
      </c>
      <c r="AH23" t="n">
        <v>109.2</v>
      </c>
      <c r="AI23" t="n">
        <v>502.4</v>
      </c>
    </row>
    <row r="24">
      <c r="A24" t="n">
        <v>2044</v>
      </c>
      <c r="B24" s="16" t="inlineStr">
        <is>
          <t>PM Directive 10/CT-TTg proxy</t>
        </is>
      </c>
      <c r="C24" t="n">
        <v>89</v>
      </c>
      <c r="D24" t="n">
        <v>0.141552511</v>
      </c>
      <c r="E24" t="n">
        <v>110.36</v>
      </c>
      <c r="F24" t="n">
        <v>8.199999999999999</v>
      </c>
      <c r="G24" t="n">
        <v>542</v>
      </c>
      <c r="H24" t="n">
        <v>1.897</v>
      </c>
      <c r="I24" t="n">
        <v>21</v>
      </c>
      <c r="J24" t="n">
        <v>84</v>
      </c>
      <c r="K24" t="n">
        <v>4</v>
      </c>
      <c r="L24" t="n">
        <v>89.40000000000001</v>
      </c>
      <c r="M24" t="n">
        <v>138</v>
      </c>
      <c r="N24" t="n">
        <v>0.828</v>
      </c>
      <c r="O24" t="n">
        <v>44</v>
      </c>
      <c r="P24" t="n">
        <v>39</v>
      </c>
      <c r="Q24" t="n">
        <v>42</v>
      </c>
      <c r="R24" t="n">
        <v>37</v>
      </c>
      <c r="S24" t="n">
        <v>59</v>
      </c>
      <c r="T24" t="n">
        <v>18</v>
      </c>
      <c r="U24" t="n">
        <v>21.8</v>
      </c>
      <c r="V24" t="n">
        <v>18.4</v>
      </c>
      <c r="W24" t="n">
        <v>4.2</v>
      </c>
      <c r="X24" t="n">
        <v>3.85</v>
      </c>
      <c r="Y24" t="n">
        <v>4700</v>
      </c>
      <c r="Z24" t="n">
        <v>0.72</v>
      </c>
      <c r="AA24" t="n">
        <v>9.4</v>
      </c>
      <c r="AB24" t="n">
        <v>6.52</v>
      </c>
      <c r="AC24" t="n">
        <v>13.4</v>
      </c>
      <c r="AD24" t="n">
        <v>11.4</v>
      </c>
      <c r="AE24" t="n">
        <v>227</v>
      </c>
      <c r="AF24" t="n">
        <v>53.2</v>
      </c>
      <c r="AG24" t="n">
        <v>114.4</v>
      </c>
      <c r="AH24" t="n">
        <v>109.6</v>
      </c>
      <c r="AI24" t="n">
        <v>504.2</v>
      </c>
    </row>
    <row r="25">
      <c r="A25" t="n">
        <v>2045</v>
      </c>
      <c r="B25" s="16" t="inlineStr">
        <is>
          <t>PM Directive 10/CT-TTg proxy</t>
        </is>
      </c>
      <c r="C25" t="n">
        <v>92.5</v>
      </c>
      <c r="D25" t="n">
        <v>0.141552511</v>
      </c>
      <c r="E25" t="n">
        <v>114.7</v>
      </c>
      <c r="F25" t="n">
        <v>8.5</v>
      </c>
      <c r="G25" t="n">
        <v>535</v>
      </c>
      <c r="H25" t="n">
        <v>1.8725</v>
      </c>
      <c r="I25" t="n">
        <v>22.5</v>
      </c>
      <c r="J25" t="n">
        <v>90</v>
      </c>
      <c r="K25" t="n">
        <v>4</v>
      </c>
      <c r="L25" t="n">
        <v>89.5</v>
      </c>
      <c r="M25" t="n">
        <v>135</v>
      </c>
      <c r="N25" t="n">
        <v>0.8100000000000001</v>
      </c>
      <c r="O25" t="n">
        <v>45</v>
      </c>
      <c r="P25" t="n">
        <v>40</v>
      </c>
      <c r="Q25" t="n">
        <v>45</v>
      </c>
      <c r="R25" t="n">
        <v>40</v>
      </c>
      <c r="S25" t="n">
        <v>62.5</v>
      </c>
      <c r="T25" t="n">
        <v>20</v>
      </c>
      <c r="U25" t="n">
        <v>23.5</v>
      </c>
      <c r="V25" t="n">
        <v>20</v>
      </c>
      <c r="W25" t="n">
        <v>4.5</v>
      </c>
      <c r="X25" t="n">
        <v>3.875</v>
      </c>
      <c r="Y25" t="n">
        <v>4750</v>
      </c>
      <c r="Z25" t="n">
        <v>0.7</v>
      </c>
      <c r="AA25" t="n">
        <v>9.5</v>
      </c>
      <c r="AB25" t="n">
        <v>6.6</v>
      </c>
      <c r="AC25" t="n">
        <v>13.5</v>
      </c>
      <c r="AD25" t="n">
        <v>11.5</v>
      </c>
      <c r="AE25" t="n">
        <v>227.5</v>
      </c>
      <c r="AF25" t="n">
        <v>53.5</v>
      </c>
      <c r="AG25" t="n">
        <v>115</v>
      </c>
      <c r="AH25" t="n">
        <v>110</v>
      </c>
      <c r="AI25" t="n">
        <v>506</v>
      </c>
    </row>
    <row r="26">
      <c r="A26" t="n">
        <v>2046</v>
      </c>
      <c r="B26" s="16" t="inlineStr">
        <is>
          <t>PM Directive 10/CT-TTg proxy</t>
        </is>
      </c>
      <c r="C26" t="n">
        <v>96</v>
      </c>
      <c r="D26" t="n">
        <v>0.141552511</v>
      </c>
      <c r="E26" t="n">
        <v>119.04</v>
      </c>
      <c r="F26" t="n">
        <v>8.800000000000001</v>
      </c>
      <c r="G26" t="n">
        <v>528</v>
      </c>
      <c r="H26" t="n">
        <v>1.848</v>
      </c>
      <c r="I26" t="n">
        <v>24</v>
      </c>
      <c r="J26" t="n">
        <v>96</v>
      </c>
      <c r="K26" t="n">
        <v>4</v>
      </c>
      <c r="L26" t="n">
        <v>89.59999999999999</v>
      </c>
      <c r="M26" t="n">
        <v>132</v>
      </c>
      <c r="N26" t="n">
        <v>0.792</v>
      </c>
      <c r="O26" t="n">
        <v>46</v>
      </c>
      <c r="P26" t="n">
        <v>41</v>
      </c>
      <c r="Q26" t="n">
        <v>48</v>
      </c>
      <c r="R26" t="n">
        <v>43</v>
      </c>
      <c r="S26" t="n">
        <v>66</v>
      </c>
      <c r="T26" t="n">
        <v>22</v>
      </c>
      <c r="U26" t="n">
        <v>25.2</v>
      </c>
      <c r="V26" t="n">
        <v>21.6</v>
      </c>
      <c r="W26" t="n">
        <v>4.8</v>
      </c>
      <c r="X26" t="n">
        <v>3.9</v>
      </c>
      <c r="Y26" t="n">
        <v>4800</v>
      </c>
      <c r="Z26" t="n">
        <v>0.68</v>
      </c>
      <c r="AA26" t="n">
        <v>9.6</v>
      </c>
      <c r="AB26" t="n">
        <v>6.68</v>
      </c>
      <c r="AC26" t="n">
        <v>13.6</v>
      </c>
      <c r="AD26" t="n">
        <v>11.6</v>
      </c>
      <c r="AE26" t="n">
        <v>228</v>
      </c>
      <c r="AF26" t="n">
        <v>53.8</v>
      </c>
      <c r="AG26" t="n">
        <v>115.6</v>
      </c>
      <c r="AH26" t="n">
        <v>110.4</v>
      </c>
      <c r="AI26" t="n">
        <v>507.8</v>
      </c>
    </row>
    <row r="27">
      <c r="A27" t="n">
        <v>2047</v>
      </c>
      <c r="B27" s="16" t="inlineStr">
        <is>
          <t>PM Directive 10/CT-TTg proxy</t>
        </is>
      </c>
      <c r="C27" t="n">
        <v>99.5</v>
      </c>
      <c r="D27" t="n">
        <v>0.141552511</v>
      </c>
      <c r="E27" t="n">
        <v>123.38</v>
      </c>
      <c r="F27" t="n">
        <v>9.1</v>
      </c>
      <c r="G27" t="n">
        <v>521</v>
      </c>
      <c r="H27" t="n">
        <v>1.8235</v>
      </c>
      <c r="I27" t="n">
        <v>25.5</v>
      </c>
      <c r="J27" t="n">
        <v>102</v>
      </c>
      <c r="K27" t="n">
        <v>4</v>
      </c>
      <c r="L27" t="n">
        <v>89.7</v>
      </c>
      <c r="M27" t="n">
        <v>129</v>
      </c>
      <c r="N27" t="n">
        <v>0.774</v>
      </c>
      <c r="O27" t="n">
        <v>47</v>
      </c>
      <c r="P27" t="n">
        <v>42</v>
      </c>
      <c r="Q27" t="n">
        <v>51</v>
      </c>
      <c r="R27" t="n">
        <v>46</v>
      </c>
      <c r="S27" t="n">
        <v>69.5</v>
      </c>
      <c r="T27" t="n">
        <v>24</v>
      </c>
      <c r="U27" t="n">
        <v>26.9</v>
      </c>
      <c r="V27" t="n">
        <v>23.2</v>
      </c>
      <c r="W27" t="n">
        <v>5.1</v>
      </c>
      <c r="X27" t="n">
        <v>3.925</v>
      </c>
      <c r="Y27" t="n">
        <v>4850</v>
      </c>
      <c r="Z27" t="n">
        <v>0.66</v>
      </c>
      <c r="AA27" t="n">
        <v>9.699999999999999</v>
      </c>
      <c r="AB27" t="n">
        <v>6.76</v>
      </c>
      <c r="AC27" t="n">
        <v>13.7</v>
      </c>
      <c r="AD27" t="n">
        <v>11.7</v>
      </c>
      <c r="AE27" t="n">
        <v>228.5</v>
      </c>
      <c r="AF27" t="n">
        <v>54.1</v>
      </c>
      <c r="AG27" t="n">
        <v>116.2</v>
      </c>
      <c r="AH27" t="n">
        <v>110.8</v>
      </c>
      <c r="AI27" t="n">
        <v>509.6</v>
      </c>
    </row>
    <row r="28">
      <c r="A28" t="n">
        <v>2048</v>
      </c>
      <c r="B28" s="16" t="inlineStr">
        <is>
          <t>PM Directive 10/CT-TTg proxy</t>
        </is>
      </c>
      <c r="C28" t="n">
        <v>103</v>
      </c>
      <c r="D28" t="n">
        <v>0.141552511</v>
      </c>
      <c r="E28" t="n">
        <v>127.72</v>
      </c>
      <c r="F28" t="n">
        <v>9.4</v>
      </c>
      <c r="G28" t="n">
        <v>514</v>
      </c>
      <c r="H28" t="n">
        <v>1.799</v>
      </c>
      <c r="I28" t="n">
        <v>27</v>
      </c>
      <c r="J28" t="n">
        <v>108</v>
      </c>
      <c r="K28" t="n">
        <v>4</v>
      </c>
      <c r="L28" t="n">
        <v>89.8</v>
      </c>
      <c r="M28" t="n">
        <v>126</v>
      </c>
      <c r="N28" t="n">
        <v>0.756</v>
      </c>
      <c r="O28" t="n">
        <v>48</v>
      </c>
      <c r="P28" t="n">
        <v>43</v>
      </c>
      <c r="Q28" t="n">
        <v>54</v>
      </c>
      <c r="R28" t="n">
        <v>49</v>
      </c>
      <c r="S28" t="n">
        <v>73</v>
      </c>
      <c r="T28" t="n">
        <v>26</v>
      </c>
      <c r="U28" t="n">
        <v>28.6</v>
      </c>
      <c r="V28" t="n">
        <v>24.8</v>
      </c>
      <c r="W28" t="n">
        <v>5.4</v>
      </c>
      <c r="X28" t="n">
        <v>3.95</v>
      </c>
      <c r="Y28" t="n">
        <v>4900</v>
      </c>
      <c r="Z28" t="n">
        <v>0.64</v>
      </c>
      <c r="AA28" t="n">
        <v>9.800000000000001</v>
      </c>
      <c r="AB28" t="n">
        <v>6.84</v>
      </c>
      <c r="AC28" t="n">
        <v>13.8</v>
      </c>
      <c r="AD28" t="n">
        <v>11.8</v>
      </c>
      <c r="AE28" t="n">
        <v>229</v>
      </c>
      <c r="AF28" t="n">
        <v>54.4</v>
      </c>
      <c r="AG28" t="n">
        <v>116.8</v>
      </c>
      <c r="AH28" t="n">
        <v>111.2</v>
      </c>
      <c r="AI28" t="n">
        <v>511.4</v>
      </c>
    </row>
    <row r="29">
      <c r="A29" t="n">
        <v>2049</v>
      </c>
      <c r="B29" s="16" t="inlineStr">
        <is>
          <t>PM Directive 10/CT-TTg proxy</t>
        </is>
      </c>
      <c r="C29" t="n">
        <v>106.5</v>
      </c>
      <c r="D29" t="n">
        <v>0.141552511</v>
      </c>
      <c r="E29" t="n">
        <v>132.06</v>
      </c>
      <c r="F29" t="n">
        <v>9.699999999999999</v>
      </c>
      <c r="G29" t="n">
        <v>507</v>
      </c>
      <c r="H29" t="n">
        <v>1.7745</v>
      </c>
      <c r="I29" t="n">
        <v>28.5</v>
      </c>
      <c r="J29" t="n">
        <v>114</v>
      </c>
      <c r="K29" t="n">
        <v>4</v>
      </c>
      <c r="L29" t="n">
        <v>89.90000000000001</v>
      </c>
      <c r="M29" t="n">
        <v>123</v>
      </c>
      <c r="N29" t="n">
        <v>0.738</v>
      </c>
      <c r="O29" t="n">
        <v>49</v>
      </c>
      <c r="P29" t="n">
        <v>44</v>
      </c>
      <c r="Q29" t="n">
        <v>57</v>
      </c>
      <c r="R29" t="n">
        <v>52</v>
      </c>
      <c r="S29" t="n">
        <v>76.5</v>
      </c>
      <c r="T29" t="n">
        <v>28</v>
      </c>
      <c r="U29" t="n">
        <v>30.3</v>
      </c>
      <c r="V29" t="n">
        <v>26.4</v>
      </c>
      <c r="W29" t="n">
        <v>5.7</v>
      </c>
      <c r="X29" t="n">
        <v>3.975</v>
      </c>
      <c r="Y29" t="n">
        <v>4950</v>
      </c>
      <c r="Z29" t="n">
        <v>0.62</v>
      </c>
      <c r="AA29" t="n">
        <v>9.9</v>
      </c>
      <c r="AB29" t="n">
        <v>6.92</v>
      </c>
      <c r="AC29" t="n">
        <v>13.9</v>
      </c>
      <c r="AD29" t="n">
        <v>11.9</v>
      </c>
      <c r="AE29" t="n">
        <v>229.5</v>
      </c>
      <c r="AF29" t="n">
        <v>54.7</v>
      </c>
      <c r="AG29" t="n">
        <v>117.4</v>
      </c>
      <c r="AH29" t="n">
        <v>111.6</v>
      </c>
      <c r="AI29" t="n">
        <v>513.2</v>
      </c>
    </row>
    <row r="30">
      <c r="A30" t="n">
        <v>2050</v>
      </c>
      <c r="B30" s="16" t="inlineStr">
        <is>
          <t>PM Directive 10/CT-TTg proxy</t>
        </is>
      </c>
      <c r="C30" t="n">
        <v>110</v>
      </c>
      <c r="D30" t="n">
        <v>0.141552511</v>
      </c>
      <c r="E30" t="n">
        <v>136.4</v>
      </c>
      <c r="F30" t="n">
        <v>10</v>
      </c>
      <c r="G30" t="n">
        <v>500</v>
      </c>
      <c r="H30" t="n">
        <v>1.75</v>
      </c>
      <c r="I30" t="n">
        <v>30</v>
      </c>
      <c r="J30" t="n">
        <v>120</v>
      </c>
      <c r="K30" t="n">
        <v>4</v>
      </c>
      <c r="L30" t="n">
        <v>90</v>
      </c>
      <c r="M30" t="n">
        <v>120</v>
      </c>
      <c r="N30" t="n">
        <v>0.72</v>
      </c>
      <c r="O30" t="n">
        <v>50</v>
      </c>
      <c r="P30" t="n">
        <v>45</v>
      </c>
      <c r="Q30" t="n">
        <v>60</v>
      </c>
      <c r="R30" t="n">
        <v>55</v>
      </c>
      <c r="S30" t="n">
        <v>80</v>
      </c>
      <c r="T30" t="n">
        <v>30</v>
      </c>
      <c r="U30" t="n">
        <v>32</v>
      </c>
      <c r="V30" t="n">
        <v>28</v>
      </c>
      <c r="W30" t="n">
        <v>6</v>
      </c>
      <c r="X30" t="n">
        <v>4</v>
      </c>
      <c r="Y30" t="n">
        <v>5000</v>
      </c>
      <c r="Z30" t="n">
        <v>0.6</v>
      </c>
      <c r="AA30" t="n">
        <v>10</v>
      </c>
      <c r="AB30" t="n">
        <v>7</v>
      </c>
      <c r="AC30" t="n">
        <v>14</v>
      </c>
      <c r="AD30" t="n">
        <v>12</v>
      </c>
      <c r="AE30" t="n">
        <v>230</v>
      </c>
      <c r="AF30" t="n">
        <v>55</v>
      </c>
      <c r="AG30" t="n">
        <v>118</v>
      </c>
      <c r="AH30" t="n">
        <v>112</v>
      </c>
      <c r="AI30" t="n">
        <v>515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workbookViewId="0">
      <pane ySplit="5" topLeftCell="A6" activePane="bottomLeft" state="frozen"/>
      <selection pane="bottomLeft" activeCell="E42" sqref="E42"/>
    </sheetView>
  </sheetViews>
  <sheetFormatPr baseColWidth="8" defaultRowHeight="15"/>
  <cols>
    <col width="18" customWidth="1" style="17" min="1" max="2"/>
    <col width="32" customWidth="1" style="17" min="3" max="3"/>
    <col width="22.42578125" customWidth="1" style="17" min="4" max="4"/>
    <col width="28" customWidth="1" style="17" min="5" max="5"/>
    <col width="27" customWidth="1" style="17" min="6" max="6"/>
    <col width="29" customWidth="1" style="17" min="7" max="7"/>
    <col width="18" customWidth="1" style="17" min="8" max="12"/>
  </cols>
  <sheetData>
    <row r="1">
      <c r="A1" s="7" t="inlineStr">
        <is>
          <t>Scenario</t>
        </is>
      </c>
      <c r="B1" t="inlineStr">
        <is>
          <t>EE_PDP8_reference</t>
        </is>
      </c>
    </row>
    <row r="2">
      <c r="A2" s="7" t="inlineStr">
        <is>
          <t>Policy note</t>
        </is>
      </c>
      <c r="B2" t="inlineStr">
        <is>
          <t>No additional carbon policy / baseline EE trend</t>
        </is>
      </c>
    </row>
    <row r="3">
      <c r="A3" s="7" t="inlineStr">
        <is>
          <t>Implementation note</t>
        </is>
      </c>
      <c r="B3" t="inlineStr">
        <is>
          <t xml:space="preserve">Sector savings and investment series are explicit. </t>
        </is>
      </c>
    </row>
    <row r="5" ht="45.75" customHeight="1" s="17">
      <c r="A5" s="6" t="inlineStr">
        <is>
          <t>Year</t>
        </is>
      </c>
      <c r="B5" s="6" t="inlineStr">
        <is>
          <t>Policy_Mode</t>
        </is>
      </c>
      <c r="C5" s="6" t="inlineStr">
        <is>
          <t>Industry_EE_Saving_pct</t>
        </is>
      </c>
      <c r="D5" s="6" t="inlineStr">
        <is>
          <t>Services_EE_Saving_pct</t>
        </is>
      </c>
      <c r="E5" s="6" t="inlineStr">
        <is>
          <t>Households_EE_Saving_pct</t>
        </is>
      </c>
      <c r="F5" s="6" t="inlineStr">
        <is>
          <t>Agriculture_EE_Saving_pct</t>
        </is>
      </c>
      <c r="G5" s="6" t="inlineStr">
        <is>
          <t>Industry_EE_Investment_USDm</t>
        </is>
      </c>
      <c r="H5" s="6" t="inlineStr">
        <is>
          <t>Services_EE_Investment_USDm</t>
        </is>
      </c>
      <c r="I5" s="6" t="inlineStr">
        <is>
          <t>Households_EE_Investment_USDm</t>
        </is>
      </c>
      <c r="J5" s="6" t="inlineStr">
        <is>
          <t>Agriculture_EE_Investment_USDm</t>
        </is>
      </c>
      <c r="K5" s="6" t="inlineStr">
        <is>
          <t>Total_EE_Investment_USDm</t>
        </is>
      </c>
    </row>
    <row r="6">
      <c r="A6" t="n">
        <v>2026</v>
      </c>
      <c r="B6" t="inlineStr">
        <is>
          <t>No additional carbon policy / baseline EE trend</t>
        </is>
      </c>
      <c r="C6" t="n">
        <v>1</v>
      </c>
      <c r="D6" t="n">
        <v>0.8</v>
      </c>
      <c r="E6" t="n">
        <v>1.2</v>
      </c>
      <c r="F6" t="n">
        <v>0.8</v>
      </c>
      <c r="G6" t="n">
        <v>120</v>
      </c>
      <c r="H6" t="n">
        <v>25</v>
      </c>
      <c r="I6" t="n">
        <v>50</v>
      </c>
      <c r="J6" t="n">
        <v>30</v>
      </c>
      <c r="K6" t="n">
        <v>225</v>
      </c>
    </row>
    <row r="7">
      <c r="A7" t="n">
        <v>2027</v>
      </c>
      <c r="B7" t="inlineStr">
        <is>
          <t>No additional carbon policy / baseline EE trend</t>
        </is>
      </c>
      <c r="C7" t="n">
        <v>1.5</v>
      </c>
      <c r="D7" t="n">
        <v>1.1</v>
      </c>
      <c r="E7" t="n">
        <v>1.775</v>
      </c>
      <c r="F7" t="n">
        <v>1.225</v>
      </c>
      <c r="G7" t="n">
        <v>130</v>
      </c>
      <c r="H7" t="n">
        <v>27.5</v>
      </c>
      <c r="I7" t="n">
        <v>56.25</v>
      </c>
      <c r="J7" t="n">
        <v>35</v>
      </c>
      <c r="K7" t="n">
        <v>248.75</v>
      </c>
    </row>
    <row r="8">
      <c r="A8" t="n">
        <v>2028</v>
      </c>
      <c r="B8" t="inlineStr">
        <is>
          <t>No additional carbon policy / baseline EE trend</t>
        </is>
      </c>
      <c r="C8" t="n">
        <v>2</v>
      </c>
      <c r="D8" t="n">
        <v>1.4</v>
      </c>
      <c r="E8" t="n">
        <v>2.35</v>
      </c>
      <c r="F8" t="n">
        <v>1.65</v>
      </c>
      <c r="G8" t="n">
        <v>140</v>
      </c>
      <c r="H8" t="n">
        <v>30</v>
      </c>
      <c r="I8" t="n">
        <v>62.5</v>
      </c>
      <c r="J8" t="n">
        <v>40</v>
      </c>
      <c r="K8" t="n">
        <v>272.5</v>
      </c>
    </row>
    <row r="9">
      <c r="A9" t="n">
        <v>2029</v>
      </c>
      <c r="B9" t="inlineStr">
        <is>
          <t>No additional carbon policy / baseline EE trend</t>
        </is>
      </c>
      <c r="C9" t="n">
        <v>2.5</v>
      </c>
      <c r="D9" t="n">
        <v>1.7</v>
      </c>
      <c r="E9" t="n">
        <v>2.925</v>
      </c>
      <c r="F9" t="n">
        <v>2.075</v>
      </c>
      <c r="G9" t="n">
        <v>150</v>
      </c>
      <c r="H9" t="n">
        <v>32.5</v>
      </c>
      <c r="I9" t="n">
        <v>68.75</v>
      </c>
      <c r="J9" t="n">
        <v>45</v>
      </c>
      <c r="K9" t="n">
        <v>296.25</v>
      </c>
    </row>
    <row r="10">
      <c r="A10" t="n">
        <v>2030</v>
      </c>
      <c r="B10" t="inlineStr">
        <is>
          <t>No additional carbon policy / baseline EE trend</t>
        </is>
      </c>
      <c r="C10" t="n">
        <v>3</v>
      </c>
      <c r="D10" t="n">
        <v>2</v>
      </c>
      <c r="E10" t="n">
        <v>3.5</v>
      </c>
      <c r="F10" t="n">
        <v>2.5</v>
      </c>
      <c r="G10" t="n">
        <v>160</v>
      </c>
      <c r="H10" t="n">
        <v>35</v>
      </c>
      <c r="I10" t="n">
        <v>75</v>
      </c>
      <c r="J10" t="n">
        <v>50</v>
      </c>
      <c r="K10" t="n">
        <v>320</v>
      </c>
    </row>
    <row r="11">
      <c r="A11" t="n">
        <v>2031</v>
      </c>
      <c r="B11" t="inlineStr">
        <is>
          <t>No additional carbon policy / baseline EE trend</t>
        </is>
      </c>
      <c r="C11" t="n">
        <v>3.1</v>
      </c>
      <c r="D11" t="n">
        <v>2.08</v>
      </c>
      <c r="E11" t="n">
        <v>3.65</v>
      </c>
      <c r="F11" t="n">
        <v>2.6</v>
      </c>
      <c r="G11" t="n">
        <v>162</v>
      </c>
      <c r="H11" t="n">
        <v>35.5</v>
      </c>
      <c r="I11" t="n">
        <v>76</v>
      </c>
      <c r="J11" t="n">
        <v>51</v>
      </c>
      <c r="K11" t="n">
        <v>324.5</v>
      </c>
    </row>
    <row r="12">
      <c r="A12" t="n">
        <v>2032</v>
      </c>
      <c r="B12" t="inlineStr">
        <is>
          <t>No additional carbon policy / baseline EE trend</t>
        </is>
      </c>
      <c r="C12" t="n">
        <v>3.2</v>
      </c>
      <c r="D12" t="n">
        <v>2.16</v>
      </c>
      <c r="E12" t="n">
        <v>3.8</v>
      </c>
      <c r="F12" t="n">
        <v>2.7</v>
      </c>
      <c r="G12" t="n">
        <v>164</v>
      </c>
      <c r="H12" t="n">
        <v>36</v>
      </c>
      <c r="I12" t="n">
        <v>77</v>
      </c>
      <c r="J12" t="n">
        <v>52</v>
      </c>
      <c r="K12" t="n">
        <v>329</v>
      </c>
    </row>
    <row r="13">
      <c r="A13" t="n">
        <v>2033</v>
      </c>
      <c r="B13" t="inlineStr">
        <is>
          <t>No additional carbon policy / baseline EE trend</t>
        </is>
      </c>
      <c r="C13" t="n">
        <v>3.3</v>
      </c>
      <c r="D13" t="n">
        <v>2.24</v>
      </c>
      <c r="E13" t="n">
        <v>3.95</v>
      </c>
      <c r="F13" t="n">
        <v>2.8</v>
      </c>
      <c r="G13" t="n">
        <v>166</v>
      </c>
      <c r="H13" t="n">
        <v>36.5</v>
      </c>
      <c r="I13" t="n">
        <v>78</v>
      </c>
      <c r="J13" t="n">
        <v>53</v>
      </c>
      <c r="K13" t="n">
        <v>333.5</v>
      </c>
    </row>
    <row r="14">
      <c r="A14" t="n">
        <v>2034</v>
      </c>
      <c r="B14" t="inlineStr">
        <is>
          <t>No additional carbon policy / baseline EE trend</t>
        </is>
      </c>
      <c r="C14" t="n">
        <v>3.4</v>
      </c>
      <c r="D14" t="n">
        <v>2.32</v>
      </c>
      <c r="E14" t="n">
        <v>4.1</v>
      </c>
      <c r="F14" t="n">
        <v>2.9</v>
      </c>
      <c r="G14" t="n">
        <v>168</v>
      </c>
      <c r="H14" t="n">
        <v>37</v>
      </c>
      <c r="I14" t="n">
        <v>79</v>
      </c>
      <c r="J14" t="n">
        <v>54</v>
      </c>
      <c r="K14" t="n">
        <v>338</v>
      </c>
    </row>
    <row r="15">
      <c r="A15" t="n">
        <v>2035</v>
      </c>
      <c r="B15" t="inlineStr">
        <is>
          <t>No additional carbon policy / baseline EE trend</t>
        </is>
      </c>
      <c r="C15" t="n">
        <v>3.5</v>
      </c>
      <c r="D15" t="n">
        <v>2.4</v>
      </c>
      <c r="E15" t="n">
        <v>4.25</v>
      </c>
      <c r="F15" t="n">
        <v>3</v>
      </c>
      <c r="G15" t="n">
        <v>170</v>
      </c>
      <c r="H15" t="n">
        <v>37.5</v>
      </c>
      <c r="I15" t="n">
        <v>80</v>
      </c>
      <c r="J15" t="n">
        <v>55</v>
      </c>
      <c r="K15" t="n">
        <v>342.5</v>
      </c>
    </row>
    <row r="16">
      <c r="A16" t="n">
        <v>2036</v>
      </c>
      <c r="B16" t="inlineStr">
        <is>
          <t>No additional carbon policy / baseline EE trend</t>
        </is>
      </c>
      <c r="C16" t="n">
        <v>3.6</v>
      </c>
      <c r="D16" t="n">
        <v>2.48</v>
      </c>
      <c r="E16" t="n">
        <v>4.4</v>
      </c>
      <c r="F16" t="n">
        <v>3.1</v>
      </c>
      <c r="G16" t="n">
        <v>172</v>
      </c>
      <c r="H16" t="n">
        <v>38</v>
      </c>
      <c r="I16" t="n">
        <v>81</v>
      </c>
      <c r="J16" t="n">
        <v>56</v>
      </c>
      <c r="K16" t="n">
        <v>347</v>
      </c>
    </row>
    <row r="17">
      <c r="A17" t="n">
        <v>2037</v>
      </c>
      <c r="B17" t="inlineStr">
        <is>
          <t>No additional carbon policy / baseline EE trend</t>
        </is>
      </c>
      <c r="C17" t="n">
        <v>3.7</v>
      </c>
      <c r="D17" t="n">
        <v>2.56</v>
      </c>
      <c r="E17" t="n">
        <v>4.55</v>
      </c>
      <c r="F17" t="n">
        <v>3.2</v>
      </c>
      <c r="G17" t="n">
        <v>174</v>
      </c>
      <c r="H17" t="n">
        <v>38.5</v>
      </c>
      <c r="I17" t="n">
        <v>82</v>
      </c>
      <c r="J17" t="n">
        <v>57</v>
      </c>
      <c r="K17" t="n">
        <v>351.5</v>
      </c>
    </row>
    <row r="18">
      <c r="A18" t="n">
        <v>2038</v>
      </c>
      <c r="B18" t="inlineStr">
        <is>
          <t>No additional carbon policy / baseline EE trend</t>
        </is>
      </c>
      <c r="C18" t="n">
        <v>3.8</v>
      </c>
      <c r="D18" t="n">
        <v>2.64</v>
      </c>
      <c r="E18" t="n">
        <v>4.7</v>
      </c>
      <c r="F18" t="n">
        <v>3.3</v>
      </c>
      <c r="G18" t="n">
        <v>176</v>
      </c>
      <c r="H18" t="n">
        <v>39</v>
      </c>
      <c r="I18" t="n">
        <v>83</v>
      </c>
      <c r="J18" t="n">
        <v>58</v>
      </c>
      <c r="K18" t="n">
        <v>356</v>
      </c>
    </row>
    <row r="19">
      <c r="A19" t="n">
        <v>2039</v>
      </c>
      <c r="B19" t="inlineStr">
        <is>
          <t>No additional carbon policy / baseline EE trend</t>
        </is>
      </c>
      <c r="C19" t="n">
        <v>3.9</v>
      </c>
      <c r="D19" t="n">
        <v>2.72</v>
      </c>
      <c r="E19" t="n">
        <v>4.85</v>
      </c>
      <c r="F19" t="n">
        <v>3.4</v>
      </c>
      <c r="G19" t="n">
        <v>178</v>
      </c>
      <c r="H19" t="n">
        <v>39.5</v>
      </c>
      <c r="I19" t="n">
        <v>84</v>
      </c>
      <c r="J19" t="n">
        <v>59</v>
      </c>
      <c r="K19" t="n">
        <v>360.5</v>
      </c>
    </row>
    <row r="20">
      <c r="A20" t="n">
        <v>2040</v>
      </c>
      <c r="B20" t="inlineStr">
        <is>
          <t>No additional carbon policy / baseline EE trend</t>
        </is>
      </c>
      <c r="C20" t="n">
        <v>4</v>
      </c>
      <c r="D20" t="n">
        <v>2.8</v>
      </c>
      <c r="E20" t="n">
        <v>5</v>
      </c>
      <c r="F20" t="n">
        <v>3.5</v>
      </c>
      <c r="G20" t="n">
        <v>180</v>
      </c>
      <c r="H20" t="n">
        <v>40</v>
      </c>
      <c r="I20" t="n">
        <v>85</v>
      </c>
      <c r="J20" t="n">
        <v>60</v>
      </c>
      <c r="K20" t="n">
        <v>365</v>
      </c>
    </row>
    <row r="21">
      <c r="A21" t="n">
        <v>2041</v>
      </c>
      <c r="B21" t="inlineStr">
        <is>
          <t>No additional carbon policy / baseline EE trend</t>
        </is>
      </c>
      <c r="C21" t="n">
        <v>4.05</v>
      </c>
      <c r="D21" t="n">
        <v>2.84</v>
      </c>
      <c r="E21" t="n">
        <v>5.1</v>
      </c>
      <c r="F21" t="n">
        <v>3.55</v>
      </c>
      <c r="G21" t="n">
        <v>180</v>
      </c>
      <c r="H21" t="n">
        <v>40.2</v>
      </c>
      <c r="I21" t="n">
        <v>85.5</v>
      </c>
      <c r="J21" t="n">
        <v>60.5</v>
      </c>
      <c r="K21" t="n">
        <v>366.2</v>
      </c>
    </row>
    <row r="22">
      <c r="A22" t="n">
        <v>2042</v>
      </c>
      <c r="B22" t="inlineStr">
        <is>
          <t>No additional carbon policy / baseline EE trend</t>
        </is>
      </c>
      <c r="C22" t="n">
        <v>4.1</v>
      </c>
      <c r="D22" t="n">
        <v>2.88</v>
      </c>
      <c r="E22" t="n">
        <v>5.2</v>
      </c>
      <c r="F22" t="n">
        <v>3.6</v>
      </c>
      <c r="G22" t="n">
        <v>180</v>
      </c>
      <c r="H22" t="n">
        <v>40.4</v>
      </c>
      <c r="I22" t="n">
        <v>86</v>
      </c>
      <c r="J22" t="n">
        <v>61</v>
      </c>
      <c r="K22" t="n">
        <v>367.4</v>
      </c>
    </row>
    <row r="23">
      <c r="A23" t="n">
        <v>2043</v>
      </c>
      <c r="B23" t="inlineStr">
        <is>
          <t>No additional carbon policy / baseline EE trend</t>
        </is>
      </c>
      <c r="C23" t="n">
        <v>4.15</v>
      </c>
      <c r="D23" t="n">
        <v>2.92</v>
      </c>
      <c r="E23" t="n">
        <v>5.3</v>
      </c>
      <c r="F23" t="n">
        <v>3.65</v>
      </c>
      <c r="G23" t="n">
        <v>180</v>
      </c>
      <c r="H23" t="n">
        <v>40.6</v>
      </c>
      <c r="I23" t="n">
        <v>86.5</v>
      </c>
      <c r="J23" t="n">
        <v>61.5</v>
      </c>
      <c r="K23" t="n">
        <v>368.6</v>
      </c>
    </row>
    <row r="24">
      <c r="A24" t="n">
        <v>2044</v>
      </c>
      <c r="B24" t="inlineStr">
        <is>
          <t>No additional carbon policy / baseline EE trend</t>
        </is>
      </c>
      <c r="C24" t="n">
        <v>4.2</v>
      </c>
      <c r="D24" t="n">
        <v>2.96</v>
      </c>
      <c r="E24" t="n">
        <v>5.4</v>
      </c>
      <c r="F24" t="n">
        <v>3.7</v>
      </c>
      <c r="G24" t="n">
        <v>180</v>
      </c>
      <c r="H24" t="n">
        <v>40.8</v>
      </c>
      <c r="I24" t="n">
        <v>87</v>
      </c>
      <c r="J24" t="n">
        <v>62</v>
      </c>
      <c r="K24" t="n">
        <v>369.8</v>
      </c>
    </row>
    <row r="25">
      <c r="A25" t="n">
        <v>2045</v>
      </c>
      <c r="B25" t="inlineStr">
        <is>
          <t>No additional carbon policy / baseline EE trend</t>
        </is>
      </c>
      <c r="C25" t="n">
        <v>4.25</v>
      </c>
      <c r="D25" t="n">
        <v>3</v>
      </c>
      <c r="E25" t="n">
        <v>5.5</v>
      </c>
      <c r="F25" t="n">
        <v>3.75</v>
      </c>
      <c r="G25" t="n">
        <v>180</v>
      </c>
      <c r="H25" t="n">
        <v>41</v>
      </c>
      <c r="I25" t="n">
        <v>87.5</v>
      </c>
      <c r="J25" t="n">
        <v>62.5</v>
      </c>
      <c r="K25" t="n">
        <v>371</v>
      </c>
    </row>
    <row r="26">
      <c r="A26" t="n">
        <v>2046</v>
      </c>
      <c r="B26" t="inlineStr">
        <is>
          <t>No additional carbon policy / baseline EE trend</t>
        </is>
      </c>
      <c r="C26" t="n">
        <v>4.3</v>
      </c>
      <c r="D26" t="n">
        <v>3.04</v>
      </c>
      <c r="E26" t="n">
        <v>5.6</v>
      </c>
      <c r="F26" t="n">
        <v>3.8</v>
      </c>
      <c r="G26" t="n">
        <v>180</v>
      </c>
      <c r="H26" t="n">
        <v>41.2</v>
      </c>
      <c r="I26" t="n">
        <v>88</v>
      </c>
      <c r="J26" t="n">
        <v>63</v>
      </c>
      <c r="K26" t="n">
        <v>372.2</v>
      </c>
    </row>
    <row r="27">
      <c r="A27" t="n">
        <v>2047</v>
      </c>
      <c r="B27" t="inlineStr">
        <is>
          <t>No additional carbon policy / baseline EE trend</t>
        </is>
      </c>
      <c r="C27" t="n">
        <v>4.35</v>
      </c>
      <c r="D27" t="n">
        <v>3.08</v>
      </c>
      <c r="E27" t="n">
        <v>5.7</v>
      </c>
      <c r="F27" t="n">
        <v>3.85</v>
      </c>
      <c r="G27" t="n">
        <v>180</v>
      </c>
      <c r="H27" t="n">
        <v>41.4</v>
      </c>
      <c r="I27" t="n">
        <v>88.5</v>
      </c>
      <c r="J27" t="n">
        <v>63.5</v>
      </c>
      <c r="K27" t="n">
        <v>373.4</v>
      </c>
    </row>
    <row r="28">
      <c r="A28" t="n">
        <v>2048</v>
      </c>
      <c r="B28" t="inlineStr">
        <is>
          <t>No additional carbon policy / baseline EE trend</t>
        </is>
      </c>
      <c r="C28" t="n">
        <v>4.4</v>
      </c>
      <c r="D28" t="n">
        <v>3.12</v>
      </c>
      <c r="E28" t="n">
        <v>5.8</v>
      </c>
      <c r="F28" t="n">
        <v>3.9</v>
      </c>
      <c r="G28" t="n">
        <v>180</v>
      </c>
      <c r="H28" t="n">
        <v>41.6</v>
      </c>
      <c r="I28" t="n">
        <v>89</v>
      </c>
      <c r="J28" t="n">
        <v>64</v>
      </c>
      <c r="K28" t="n">
        <v>374.6</v>
      </c>
    </row>
    <row r="29">
      <c r="A29" t="n">
        <v>2049</v>
      </c>
      <c r="B29" t="inlineStr">
        <is>
          <t>No additional carbon policy / baseline EE trend</t>
        </is>
      </c>
      <c r="C29" t="n">
        <v>4.45</v>
      </c>
      <c r="D29" t="n">
        <v>3.16</v>
      </c>
      <c r="E29" t="n">
        <v>5.9</v>
      </c>
      <c r="F29" t="n">
        <v>3.95</v>
      </c>
      <c r="G29" t="n">
        <v>180</v>
      </c>
      <c r="H29" t="n">
        <v>41.8</v>
      </c>
      <c r="I29" t="n">
        <v>89.5</v>
      </c>
      <c r="J29" t="n">
        <v>64.5</v>
      </c>
      <c r="K29" t="n">
        <v>375.8</v>
      </c>
    </row>
    <row r="30">
      <c r="A30" t="n">
        <v>2050</v>
      </c>
      <c r="B30" t="inlineStr">
        <is>
          <t>No additional carbon policy / baseline EE trend</t>
        </is>
      </c>
      <c r="C30" t="n">
        <v>4.5</v>
      </c>
      <c r="D30" t="n">
        <v>3.2</v>
      </c>
      <c r="E30" t="n">
        <v>6</v>
      </c>
      <c r="F30" t="n">
        <v>4</v>
      </c>
      <c r="G30" t="n">
        <v>180</v>
      </c>
      <c r="H30" t="n">
        <v>42</v>
      </c>
      <c r="I30" t="n">
        <v>90</v>
      </c>
      <c r="J30" t="n">
        <v>65</v>
      </c>
      <c r="K30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2026-04-02T13:29:31Z</dcterms:created>
  <dcterms:modified xsi:type="dcterms:W3CDTF">2026-06-03T12:29:02Z</dcterms:modified>
  <cp:lastModifiedBy>Christoph Schult</cp:lastModifiedBy>
</cp:coreProperties>
</file>