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ul\Documents\GitHub\DGE-METRIC\ExcelFiles\"/>
    </mc:Choice>
  </mc:AlternateContent>
  <xr:revisionPtr revIDLastSave="0" documentId="13_ncr:1_{6A042970-A39E-45D7-B9CB-8F3ED4C9E86A}" xr6:coauthVersionLast="47" xr6:coauthVersionMax="47" xr10:uidLastSave="{00000000-0000-0000-0000-000000000000}"/>
  <bookViews>
    <workbookView xWindow="5415" yWindow="5415" windowWidth="38700" windowHeight="15345" activeTab="4" xr2:uid="{00000000-000D-0000-FFFF-FFFF00000000}"/>
  </bookViews>
  <sheets>
    <sheet name="Content" sheetId="5" r:id="rId1"/>
    <sheet name="IO_Data" sheetId="4" r:id="rId2"/>
    <sheet name="Data" sheetId="3" r:id="rId3"/>
    <sheet name="Start" sheetId="2" r:id="rId4"/>
    <sheet name="Structural Parameters" sheetId="1" r:id="rId5"/>
  </sheets>
  <definedNames>
    <definedName name="H0_1_p">Data!$AC$2</definedName>
    <definedName name="LF0_1_p">Data!$AA$2</definedName>
    <definedName name="N0_1_p">Data!$AB$2</definedName>
    <definedName name="N0_p">Data!$AL$2</definedName>
    <definedName name="P0_D_1_p">Data!$Y$2</definedName>
    <definedName name="P0_MR_1_p">Data!$X$2</definedName>
    <definedName name="phiM_F_1_1_p">Data!$H$2</definedName>
    <definedName name="phiM_F_2_1_p">Data!$H$3</definedName>
    <definedName name="phiM_F_3_1_p">Data!$H$4</definedName>
    <definedName name="phiM_F_4_1_p">Data!$H$5</definedName>
    <definedName name="phiM_F_5_1_p">Data!$H$6</definedName>
    <definedName name="phiM_I_1_1_p">Data!$G$2</definedName>
    <definedName name="phiM_I_2_1_p">Data!$G$3</definedName>
    <definedName name="phiM_I_3_1_p">Data!$G$4</definedName>
    <definedName name="phiM_I_4_1_p">Data!$G$5</definedName>
    <definedName name="phiM_I_5_1_p">Data!$G$6</definedName>
    <definedName name="phiM_p">Data!$AL$4</definedName>
    <definedName name="phiN0_1_1_p">Data!$C$2</definedName>
    <definedName name="phiN0_2_1_p">Data!$C$3</definedName>
    <definedName name="phiN0_3_1_p">Data!$C$4</definedName>
    <definedName name="phiN0_4_1_p">Data!$C$5</definedName>
    <definedName name="phiN0_5_1_p">Data!$C$6</definedName>
    <definedName name="phiQ_D_1_1_1_p">Data!$U$2</definedName>
    <definedName name="phiQ_D_2_1_1_p">Data!$U$3</definedName>
    <definedName name="phiQ_D_3_1_1_p">Data!$U$4</definedName>
    <definedName name="phiQ_D_4_1_1_p">Data!$U$5</definedName>
    <definedName name="phiQ_D_5_1_1_p">Data!$U$6</definedName>
    <definedName name="phiQI_1_1_1_p">Data!$O$2</definedName>
    <definedName name="phiQI_1_1_2_p">Data!$O$3</definedName>
    <definedName name="phiQI_1_1_3_p">Data!$O$4</definedName>
    <definedName name="phiQI_1_1_4_p">Data!$O$5</definedName>
    <definedName name="phiQI_1_1_p">Data!$I$2</definedName>
    <definedName name="phiQI_2_1_1_p">Data!$O$6</definedName>
    <definedName name="phiQI_2_1_2_p">Data!$O$7</definedName>
    <definedName name="phiQI_2_1_3_p">Data!$O$8</definedName>
    <definedName name="phiQI_2_1_4_p">Data!$O$9</definedName>
    <definedName name="phiQI_2_1_p">Data!$I$3</definedName>
    <definedName name="phiQI_3_1_1_p">Data!$O$10</definedName>
    <definedName name="phiQI_3_1_2_p">Data!$O$11</definedName>
    <definedName name="phiQI_3_1_3_p">Data!$O$12</definedName>
    <definedName name="phiQI_3_1_4_p">Data!$O$13</definedName>
    <definedName name="phiQI_3_1_p">Data!$I$4</definedName>
    <definedName name="phiQI_4_1_1_p">Data!$O$14</definedName>
    <definedName name="phiQI_4_1_2_p">Data!$O$15</definedName>
    <definedName name="phiQI_4_1_3_p">Data!$O$16</definedName>
    <definedName name="phiQI_4_1_4_p">Data!$O$17</definedName>
    <definedName name="phiQI_4_1_p">Data!$I$5</definedName>
    <definedName name="phiQI_5_1_1_p">Data!$O$18</definedName>
    <definedName name="phiQI_5_1_2_p">Data!$O$19</definedName>
    <definedName name="phiQI_5_1_3_p">Data!$O$20</definedName>
    <definedName name="phiQI_5_1_4_p">Data!$O$21</definedName>
    <definedName name="phiQI_5_1_p">Data!$I$6</definedName>
    <definedName name="phiQPV0_p">Start!$B$43</definedName>
    <definedName name="phiW_1_1_p">Data!$E$2</definedName>
    <definedName name="phiW_2_1_p">Data!$E$3</definedName>
    <definedName name="phiW_3_1_p">Data!$E$4</definedName>
    <definedName name="phiW_4_1_p">Data!$E$5</definedName>
    <definedName name="phiW_5_1_p">Data!$E$6</definedName>
    <definedName name="phiX_1_1_p">Data!$F$2</definedName>
    <definedName name="phiX_2_1_p">Data!$F$3</definedName>
    <definedName name="phiX_3_1_p">Data!$F$4</definedName>
    <definedName name="phiX_4_1_p">Data!$F$5</definedName>
    <definedName name="phiX_5_1_p">Data!$F$6</definedName>
    <definedName name="phiY0_1_1_p">Data!$D$2</definedName>
    <definedName name="phiY0_2_1_p">Data!$D$3</definedName>
    <definedName name="phiY0_3_1_p">Data!$D$4</definedName>
    <definedName name="phiY0_4_1_p">Data!$D$5</definedName>
    <definedName name="phiY0_5_1_p">Data!$D$6</definedName>
    <definedName name="PoP0_1_p">Data!$Z$2</definedName>
    <definedName name="sE_1_1_p">Data!$J$2</definedName>
    <definedName name="sE_2_1_p">Data!$J$3</definedName>
    <definedName name="sE_3_1_p">Data!$J$4</definedName>
    <definedName name="sE_4_1_p">Data!$J$5</definedName>
    <definedName name="sE_5_1_p">Data!$J$6</definedName>
    <definedName name="sEI_1_1_1_p">Data!$P$2</definedName>
    <definedName name="sEI_1_1_2_p">Data!$P$3</definedName>
    <definedName name="sEI_1_1_3_p">Data!$P$4</definedName>
    <definedName name="sEI_1_1_4_p">Data!$P$5</definedName>
    <definedName name="sEI_2_1_1_p">Data!$P$6</definedName>
    <definedName name="sEI_2_1_2_p">Data!$P$7</definedName>
    <definedName name="sEI_2_1_3_p">Data!$P$8</definedName>
    <definedName name="sEI_2_1_4_p">Data!$P$9</definedName>
    <definedName name="sEI_3_1_1_p">Data!$P$10</definedName>
    <definedName name="sEI_3_1_2_p">Data!$P$11</definedName>
    <definedName name="sEI_3_1_3_p">Data!$P$12</definedName>
    <definedName name="sEI_3_1_4_p">Data!$P$13</definedName>
    <definedName name="sEI_4_1_1_p">Data!$P$14</definedName>
    <definedName name="sEI_4_1_2_p">Data!$P$15</definedName>
    <definedName name="sEI_4_1_3_p">Data!$P$16</definedName>
    <definedName name="sEI_4_1_4_p">Data!$P$17</definedName>
    <definedName name="sEI_5_1_1_p">Data!$P$18</definedName>
    <definedName name="sEI_5_1_2_p">Data!$P$19</definedName>
    <definedName name="sEI_5_1_3_p">Data!$P$20</definedName>
    <definedName name="sEI_5_1_4_p">Data!$P$21</definedName>
    <definedName name="sH_p">Data!$AL$5</definedName>
    <definedName name="SL0_p">Data!$AI$2</definedName>
    <definedName name="tas0_1_p">Data!$AF$2</definedName>
    <definedName name="tauC_p">Data!$AL$8</definedName>
    <definedName name="tauKH_p">Data!$AL$7</definedName>
    <definedName name="tauNH_p">Data!$AL$6</definedName>
    <definedName name="Y0_p">Data!$AL$3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2" l="1"/>
  <c r="B23" i="2"/>
  <c r="B22" i="2"/>
  <c r="B20" i="2"/>
  <c r="B14" i="2"/>
</calcChain>
</file>

<file path=xl/sharedStrings.xml><?xml version="1.0" encoding="utf-8"?>
<sst xmlns="http://schemas.openxmlformats.org/spreadsheetml/2006/main" count="650" uniqueCount="438">
  <si>
    <t>Sheets</t>
  </si>
  <si>
    <t>IO_Data</t>
  </si>
  <si>
    <t>Data</t>
  </si>
  <si>
    <t>Start</t>
  </si>
  <si>
    <t>Structural Parameters</t>
  </si>
  <si>
    <t>Regions</t>
  </si>
  <si>
    <t>Subsectors</t>
  </si>
  <si>
    <t>a sheet containing input-output data and sectoral accounts</t>
  </si>
  <si>
    <t>a sheet to store data used for calibration</t>
  </si>
  <si>
    <t>a sheet to assign values for the initial conditions</t>
  </si>
  <si>
    <t>a sheet to assign values for structural parameters</t>
  </si>
  <si>
    <t>VNM</t>
  </si>
  <si>
    <t>Primary</t>
  </si>
  <si>
    <t>Fossil</t>
  </si>
  <si>
    <t>Renewables</t>
  </si>
  <si>
    <t>Secondary</t>
  </si>
  <si>
    <t>Tertiary</t>
  </si>
  <si>
    <t>Intermediate Input Shares and Sectoral Accounts (phiQI, phiX, phiM_I, phiM_F, phiW, phiY0, phiN0)</t>
  </si>
  <si>
    <t>Aggregate Sector</t>
  </si>
  <si>
    <t>Intermediate input matrix phiQI [row=using, col=supplying]</t>
  </si>
  <si>
    <t>Energy</t>
  </si>
  <si>
    <t>Final Imports (phiM_F)</t>
  </si>
  <si>
    <t>Subsector</t>
  </si>
  <si>
    <t>Exports (phiX)</t>
  </si>
  <si>
    <t>Imports Intermediate (phiM_I)</t>
  </si>
  <si>
    <t>Labour (phiW)</t>
  </si>
  <si>
    <t>Value Added (phiY0)</t>
  </si>
  <si>
    <t>Employment Share (phiN0)</t>
  </si>
  <si>
    <t>Sector</t>
  </si>
  <si>
    <t>Region</t>
  </si>
  <si>
    <t>Initial Employment (phiN0)</t>
  </si>
  <si>
    <t>Initial Value Added (phiY0)</t>
  </si>
  <si>
    <t>Labour Cost (phiW)</t>
  </si>
  <si>
    <t>Import Intermediate (phiM_I)</t>
  </si>
  <si>
    <t>Import final (phiM_F)</t>
  </si>
  <si>
    <t>Intermediate (phiQI)</t>
  </si>
  <si>
    <t>emission share (sE)</t>
  </si>
  <si>
    <t>enter value here</t>
  </si>
  <si>
    <t>Sector of Origin</t>
  </si>
  <si>
    <t>intermediate input share (phiQI)</t>
  </si>
  <si>
    <t>share of emissions (sEI)</t>
  </si>
  <si>
    <t>Region of Origin</t>
  </si>
  <si>
    <t>Region of Destination</t>
  </si>
  <si>
    <t>demand of products from different regions (phiQ_D)</t>
  </si>
  <si>
    <t>initial price level imports (P0_MR)</t>
  </si>
  <si>
    <t>initial domestic price level (P0_D)</t>
  </si>
  <si>
    <t>initial population (PoP0)</t>
  </si>
  <si>
    <t>initial labour force (LF0)</t>
  </si>
  <si>
    <t>initial employment (N0)</t>
  </si>
  <si>
    <t>initial stocks of houses (H0)</t>
  </si>
  <si>
    <t>initial surface temperature (Celsius) (tas0)</t>
  </si>
  <si>
    <t>Name</t>
  </si>
  <si>
    <t>Value</t>
  </si>
  <si>
    <t>initial Sea level</t>
  </si>
  <si>
    <t>initial employment</t>
  </si>
  <si>
    <t>initial value added</t>
  </si>
  <si>
    <t>import share</t>
  </si>
  <si>
    <t>investmetns in residential building relative to GDP</t>
  </si>
  <si>
    <t>tax on labour</t>
  </si>
  <si>
    <t>tax on capital income</t>
  </si>
  <si>
    <t>tax on consumption</t>
  </si>
  <si>
    <t>Parameter</t>
  </si>
  <si>
    <t>Y0_p</t>
  </si>
  <si>
    <t>Parameter values for initial sum of hours worked relative to potential hours worked</t>
  </si>
  <si>
    <t>N0_1_p</t>
  </si>
  <si>
    <t>Initial public debt</t>
  </si>
  <si>
    <t>BG0_1_p</t>
  </si>
  <si>
    <t>sGY0_1_p</t>
  </si>
  <si>
    <t>Parameter values for initial emissions</t>
  </si>
  <si>
    <t>E0_NOETS_1_p</t>
  </si>
  <si>
    <t>E0_1_p</t>
  </si>
  <si>
    <t>Initial emissions price</t>
  </si>
  <si>
    <t>PE0_1_p</t>
  </si>
  <si>
    <t>Parameter values for investments in residential building relative to GDP</t>
  </si>
  <si>
    <t>sH_1_p</t>
  </si>
  <si>
    <t>Parameter values for initial population</t>
  </si>
  <si>
    <t>PoP0_1_p</t>
  </si>
  <si>
    <t>Parameter values for initial labour force</t>
  </si>
  <si>
    <t>LF0_1_p</t>
  </si>
  <si>
    <t>Parameter values for initial housing</t>
  </si>
  <si>
    <t>H0_1_p</t>
  </si>
  <si>
    <t>Parameter values for initial value for tas</t>
  </si>
  <si>
    <t>tas0_1_p</t>
  </si>
  <si>
    <t>tas0_p</t>
  </si>
  <si>
    <t>Parameter values for initial share of value added</t>
  </si>
  <si>
    <t>phiY0_1_1_p</t>
  </si>
  <si>
    <t>phiY0_2_1_p</t>
  </si>
  <si>
    <t>phiY0_3_1_p</t>
  </si>
  <si>
    <t>phiY0_4_1_p</t>
  </si>
  <si>
    <t>phiY0_5_1_p</t>
  </si>
  <si>
    <t>Parameter values for initial share of employment</t>
  </si>
  <si>
    <t>phiN0_1_1_p</t>
  </si>
  <si>
    <t>phiN0_2_1_p</t>
  </si>
  <si>
    <t>phiN0_3_1_p</t>
  </si>
  <si>
    <t>phiN0_4_1_p</t>
  </si>
  <si>
    <t>phiN0_5_1_p</t>
  </si>
  <si>
    <t>Initial shares of government-owned capital</t>
  </si>
  <si>
    <t>phiG_1_1_p</t>
  </si>
  <si>
    <t>phiG_2_1_p</t>
  </si>
  <si>
    <t>phiG_3_1_p</t>
  </si>
  <si>
    <t>phiG_4_1_p</t>
  </si>
  <si>
    <t>phiG_5_1_p</t>
  </si>
  <si>
    <t>Rooftop solar PV parameters</t>
  </si>
  <si>
    <t>phiQPV0_p</t>
  </si>
  <si>
    <t>phiKPV0_p</t>
  </si>
  <si>
    <t>deltaPV_p</t>
  </si>
  <si>
    <t>Baseline foreign-owned capital shares</t>
  </si>
  <si>
    <t>sFDI0_1_1_p</t>
  </si>
  <si>
    <t>sFDI0_2_1_p</t>
  </si>
  <si>
    <t>sFDI0_3_1_p</t>
  </si>
  <si>
    <t>sFDI0_4_1_p</t>
  </si>
  <si>
    <t>sFDI0_5_1_p</t>
  </si>
  <si>
    <t>Description</t>
  </si>
  <si>
    <t>initial GDP</t>
  </si>
  <si>
    <t>initial sum of hours worked relative to potential hours worked in region 1</t>
  </si>
  <si>
    <t>initial public debt to GDP ratio</t>
  </si>
  <si>
    <t>actual government-consumption share of GDP (calibration target for G_1/tauC_1_p; GSO 2019 IO table, GSO_REDUCED sheet, GC/TOTAL)</t>
  </si>
  <si>
    <t>initial emissions in region 1 not covered by ETS</t>
  </si>
  <si>
    <t>initial emissions in region 1 covered by ETS</t>
  </si>
  <si>
    <t>initial emissions price in region 1</t>
  </si>
  <si>
    <t>investments in residential building relative to GDP in region 1</t>
  </si>
  <si>
    <t>initial population in region 1</t>
  </si>
  <si>
    <t>initial labour force in region 1</t>
  </si>
  <si>
    <t>initial housing in region 1</t>
  </si>
  <si>
    <t>initial value for tas in region 1</t>
  </si>
  <si>
    <t>initial national surface temperature</t>
  </si>
  <si>
    <t>initial share of value added in sector 1 and region 1</t>
  </si>
  <si>
    <t>initial share of value added in sector 2 and region 1</t>
  </si>
  <si>
    <t>initial share of value added in sector 3 and region 1</t>
  </si>
  <si>
    <t>initial share of value added in sector 4 and region 1</t>
  </si>
  <si>
    <t>initial share of value added in sector 5 and region 1</t>
  </si>
  <si>
    <t>initial share of employment in sector 1 and region 1</t>
  </si>
  <si>
    <t>initial share of employment in sector 2 and region 1</t>
  </si>
  <si>
    <t>initial share of employment in sector 3 and region 1</t>
  </si>
  <si>
    <t>initial share of employment in sector 4 and region 1</t>
  </si>
  <si>
    <t>initial share of employment in sector 5 and region 1</t>
  </si>
  <si>
    <t>initial share of government-owned capital in subsector 1 and region 1</t>
  </si>
  <si>
    <t>initial share of government-owned capital in subsector 2 and region 1</t>
  </si>
  <si>
    <t>initial share of government-owned capital in subsector 3 and region 1</t>
  </si>
  <si>
    <t>initial share of government-owned capital in subsector 4 and region 1</t>
  </si>
  <si>
    <t>initial share of government-owned capital in subsector 5 and region 1</t>
  </si>
  <si>
    <t>initial share of rooftop solar PV in final energy demand</t>
  </si>
  <si>
    <t>initial rooftop solar PV capital-to-GDP ratio</t>
  </si>
  <si>
    <t>depreciation rate of rooftop solar PV capital</t>
  </si>
  <si>
    <t>baseline share of foreign-owned capital in total capital for subsector 1 and region 1</t>
  </si>
  <si>
    <t>baseline share of foreign-owned capital in total capital for subsector 2 and region 1</t>
  </si>
  <si>
    <t>baseline share of foreign-owned capital in total capital for subsector 3 and region 1</t>
  </si>
  <si>
    <t>baseline share of foreign-owned capital in total capital for subsector 4 and region 1</t>
  </si>
  <si>
    <t>baseline share of foreign-owned capital in total capital for subsector 5 and region 1</t>
  </si>
  <si>
    <t>beta_p</t>
  </si>
  <si>
    <t>deltaB_p</t>
  </si>
  <si>
    <t>phiB_p</t>
  </si>
  <si>
    <t>phiadjB_p</t>
  </si>
  <si>
    <t>sigmaL_p</t>
  </si>
  <si>
    <t>sigmaC_p</t>
  </si>
  <si>
    <t>etaQ_p</t>
  </si>
  <si>
    <t>etaF_p</t>
  </si>
  <si>
    <t>etaX_p</t>
  </si>
  <si>
    <t>tauC_1_p</t>
  </si>
  <si>
    <t>tauNH_1_p</t>
  </si>
  <si>
    <t>Parameter values for capital-income tax rate paid by households</t>
  </si>
  <si>
    <t>tauKH_1_1_p</t>
  </si>
  <si>
    <t>tauKH_2_1_p</t>
  </si>
  <si>
    <t>tauKH_3_1_p</t>
  </si>
  <si>
    <t>tauKH_4_1_p</t>
  </si>
  <si>
    <t>tauKH_5_1_p</t>
  </si>
  <si>
    <t>Parameter values for elasticity of substitution between products from different subsectors in one aggregate sector</t>
  </si>
  <si>
    <t>etaQA_1_p</t>
  </si>
  <si>
    <t>etaQA_2_p</t>
  </si>
  <si>
    <t>etaQA_3_p</t>
  </si>
  <si>
    <t>etaQA_4_p</t>
  </si>
  <si>
    <t>Parameter values for elasticity of substitution between regions in one subsector</t>
  </si>
  <si>
    <t>etaQ_1_p</t>
  </si>
  <si>
    <t>etaQ_2_p</t>
  </si>
  <si>
    <t>etaQ_3_p</t>
  </si>
  <si>
    <t>etaQ_4_p</t>
  </si>
  <si>
    <t>etaQ_5_p</t>
  </si>
  <si>
    <t>Parameter values for cost share of intermediate goods</t>
  </si>
  <si>
    <t>phiQI_1_1_p</t>
  </si>
  <si>
    <t>phiQI_2_1_p</t>
  </si>
  <si>
    <t>phiQI_3_1_p</t>
  </si>
  <si>
    <t>phiQI_4_1_p</t>
  </si>
  <si>
    <t>phiQI_5_1_p</t>
  </si>
  <si>
    <t>Parameter values for final use import shares</t>
  </si>
  <si>
    <t>phiM_F_1_1_p</t>
  </si>
  <si>
    <t>phiM_F_2_1_p</t>
  </si>
  <si>
    <t>phiM_F_3_1_p</t>
  </si>
  <si>
    <t>phiM_F_4_1_p</t>
  </si>
  <si>
    <t>phiM_F_5_1_p</t>
  </si>
  <si>
    <t>Parameter values for intermediate import shares</t>
  </si>
  <si>
    <t>phiM_I_1_1_p</t>
  </si>
  <si>
    <t>phiM_I_2_1_p</t>
  </si>
  <si>
    <t>phiM_I_3_1_p</t>
  </si>
  <si>
    <t>phiM_I_4_1_p</t>
  </si>
  <si>
    <t>phiM_I_5_1_p</t>
  </si>
  <si>
    <t>Parameter values for share of exports on revenues</t>
  </si>
  <si>
    <t>phiX_1_1_p</t>
  </si>
  <si>
    <t>phiX_2_1_p</t>
  </si>
  <si>
    <t>phiX_3_1_p</t>
  </si>
  <si>
    <t>phiX_4_1_p</t>
  </si>
  <si>
    <t>phiX_5_1_p</t>
  </si>
  <si>
    <t>Parameter values for elasticity of substitution between value added and intermediate products</t>
  </si>
  <si>
    <t>etaI_1_p</t>
  </si>
  <si>
    <t>etaI_2_p</t>
  </si>
  <si>
    <t>etaI_3_p</t>
  </si>
  <si>
    <t>etaI_4_p</t>
  </si>
  <si>
    <t>etaI_5_p</t>
  </si>
  <si>
    <t>Parameter values for elasticity of substitution between intermediate products supplied by different aggregate sectors</t>
  </si>
  <si>
    <t>etaIA_1_p</t>
  </si>
  <si>
    <t>etaIA_2_p</t>
  </si>
  <si>
    <t>etaIA_3_p</t>
  </si>
  <si>
    <t>etaIA_4_p</t>
  </si>
  <si>
    <t>etaIA_5_p</t>
  </si>
  <si>
    <t>Parameter values for labour cost share</t>
  </si>
  <si>
    <t>phiW_1_1_p</t>
  </si>
  <si>
    <t>phiW_2_1_p</t>
  </si>
  <si>
    <t>phiW_3_1_p</t>
  </si>
  <si>
    <t>phiW_4_1_p</t>
  </si>
  <si>
    <t>phiW_5_1_p</t>
  </si>
  <si>
    <t>Parameter values for elasticity of substitution between labour and capital</t>
  </si>
  <si>
    <t>etaNK_1_1_p</t>
  </si>
  <si>
    <t>etaNK_2_1_p</t>
  </si>
  <si>
    <t>etaNK_3_1_p</t>
  </si>
  <si>
    <t>etaNK_4_1_p</t>
  </si>
  <si>
    <t>etaNK_5_1_p</t>
  </si>
  <si>
    <t>Parameter values for capital-income tax rate paid by firms</t>
  </si>
  <si>
    <t>tauKF_1_1_p</t>
  </si>
  <si>
    <t>tauKF_2_1_p</t>
  </si>
  <si>
    <t>tauKF_3_1_p</t>
  </si>
  <si>
    <t>tauKF_4_1_p</t>
  </si>
  <si>
    <t>tauKF_5_1_p</t>
  </si>
  <si>
    <t>Parameter values for labour-income tax rate paid by firms</t>
  </si>
  <si>
    <t>tauNF_1_1_p</t>
  </si>
  <si>
    <t>tauNF_2_1_p</t>
  </si>
  <si>
    <t>tauNF_3_1_p</t>
  </si>
  <si>
    <t>tauNF_4_1_p</t>
  </si>
  <si>
    <t>tauNF_5_1_p</t>
  </si>
  <si>
    <t>Parameter values for share of ETS-covered emissions allocated to each subsector and region</t>
  </si>
  <si>
    <t>sE_1_1_p</t>
  </si>
  <si>
    <t>sE_2_1_p</t>
  </si>
  <si>
    <t>sE_3_1_p</t>
  </si>
  <si>
    <t>sE_4_1_p</t>
  </si>
  <si>
    <t>sE_5_1_p</t>
  </si>
  <si>
    <t>Parameter values for share of non-ETS emissions allocated to each subsector and region</t>
  </si>
  <si>
    <t>sE_NOETS_1_1_p</t>
  </si>
  <si>
    <t>sE_NOETS_2_1_p</t>
  </si>
  <si>
    <t>sE_NOETS_3_1_p</t>
  </si>
  <si>
    <t>sE_NOETS_4_1_p</t>
  </si>
  <si>
    <t>sE_NOETS_5_1_p</t>
  </si>
  <si>
    <t>Parameter values for share of inputs from another sector for each subsector</t>
  </si>
  <si>
    <t>phiQI_1_1_1_p</t>
  </si>
  <si>
    <t>phiQI_1_1_2_p</t>
  </si>
  <si>
    <t>phiQI_1_1_3_p</t>
  </si>
  <si>
    <t>phiQI_1_1_4_p</t>
  </si>
  <si>
    <t>phiQI_2_1_1_p</t>
  </si>
  <si>
    <t>phiQI_2_1_2_p</t>
  </si>
  <si>
    <t>phiQI_2_1_3_p</t>
  </si>
  <si>
    <t>phiQI_2_1_4_p</t>
  </si>
  <si>
    <t>phiQI_3_1_1_p</t>
  </si>
  <si>
    <t>phiQI_3_1_2_p</t>
  </si>
  <si>
    <t>phiQI_3_1_3_p</t>
  </si>
  <si>
    <t>phiQI_3_1_4_p</t>
  </si>
  <si>
    <t>phiQI_4_1_1_p</t>
  </si>
  <si>
    <t>phiQI_4_1_2_p</t>
  </si>
  <si>
    <t>phiQI_4_1_3_p</t>
  </si>
  <si>
    <t>phiQI_4_1_4_p</t>
  </si>
  <si>
    <t>phiQI_5_1_1_p</t>
  </si>
  <si>
    <t>phiQI_5_1_2_p</t>
  </si>
  <si>
    <t>phiQI_5_1_3_p</t>
  </si>
  <si>
    <t>phiQI_5_1_4_p</t>
  </si>
  <si>
    <t>Parameter values for share of emissions on total emissions for each sector using products from another sector as input</t>
  </si>
  <si>
    <t>sEI_1_1_1_p</t>
  </si>
  <si>
    <t>sEI_1_1_2_p</t>
  </si>
  <si>
    <t>sEI_1_1_3_p</t>
  </si>
  <si>
    <t>sEI_1_1_4_p</t>
  </si>
  <si>
    <t>sEI_2_1_1_p</t>
  </si>
  <si>
    <t>sEI_2_1_2_p</t>
  </si>
  <si>
    <t>sEI_2_1_3_p</t>
  </si>
  <si>
    <t>sEI_2_1_4_p</t>
  </si>
  <si>
    <t>sEI_3_1_1_p</t>
  </si>
  <si>
    <t>sEI_3_1_2_p</t>
  </si>
  <si>
    <t>sEI_3_1_3_p</t>
  </si>
  <si>
    <t>sEI_3_1_4_p</t>
  </si>
  <si>
    <t>sEI_4_1_1_p</t>
  </si>
  <si>
    <t>sEI_4_1_2_p</t>
  </si>
  <si>
    <t>sEI_4_1_3_p</t>
  </si>
  <si>
    <t>sEI_4_1_4_p</t>
  </si>
  <si>
    <t>sEI_5_1_1_p</t>
  </si>
  <si>
    <t>sEI_5_1_2_p</t>
  </si>
  <si>
    <t>sEI_5_1_3_p</t>
  </si>
  <si>
    <t>sEI_5_1_4_p</t>
  </si>
  <si>
    <t>Parameter values for share of production used in one region from another region in the subsector</t>
  </si>
  <si>
    <t>phiQ_D_1_1_1_p</t>
  </si>
  <si>
    <t>phiQ_D_2_1_1_p</t>
  </si>
  <si>
    <t>phiQ_D_3_1_1_p</t>
  </si>
  <si>
    <t>phiQ_D_4_1_1_p</t>
  </si>
  <si>
    <t>phiQ_D_5_1_1_p</t>
  </si>
  <si>
    <t>Sectoral capital depreciation rates</t>
  </si>
  <si>
    <t>delta_1_1_p</t>
  </si>
  <si>
    <t>delta_2_1_p</t>
  </si>
  <si>
    <t>delta_3_1_p</t>
  </si>
  <si>
    <t>delta_4_1_p</t>
  </si>
  <si>
    <t>delta_5_1_p</t>
  </si>
  <si>
    <t>discount factor</t>
  </si>
  <si>
    <t>foreign-asset depreciation rate</t>
  </si>
  <si>
    <t>debt-elastic external finance premium coefficient</t>
  </si>
  <si>
    <t>quadratic foreign-asset adjustment-cost parameter</t>
  </si>
  <si>
    <t>inverse Frisch elasticity</t>
  </si>
  <si>
    <t>intertemporal elasticity of substitution for consumption</t>
  </si>
  <si>
    <t>elasticity of substitution between sectors</t>
  </si>
  <si>
    <t>elasticity of substitution between imports and domestic products</t>
  </si>
  <si>
    <t>export price elasticity</t>
  </si>
  <si>
    <t>consumption tax rate</t>
  </si>
  <si>
    <t>tax rate on labour income</t>
  </si>
  <si>
    <t>capital-income tax rate paid by households in subsector 1 and region 1</t>
  </si>
  <si>
    <t>capital-income tax rate paid by households in subsector 2 and region 1</t>
  </si>
  <si>
    <t>capital-income tax rate paid by households in subsector 3 and region 1</t>
  </si>
  <si>
    <t>capital-income tax rate paid by households in subsector 4 and region 1</t>
  </si>
  <si>
    <t>capital-income tax rate paid by households in subsector 5 and region 1</t>
  </si>
  <si>
    <t>elasticity of substitution between products from different subsectors in aggregate sector 1 (Primary)</t>
  </si>
  <si>
    <t>elasticity of substitution between products from different subsectors in aggregate sector 2 (Energy)</t>
  </si>
  <si>
    <t>elasticity of substitution between products from different subsectors in aggregate sector 3 (Secondary)</t>
  </si>
  <si>
    <t>elasticity of substitution between products from different subsectors in aggregate sector 4 (Tertiary)</t>
  </si>
  <si>
    <t>elasticity of substitution between regions in one subsector in subsector 1</t>
  </si>
  <si>
    <t>elasticity of substitution between regions in one subsector in subsector 2</t>
  </si>
  <si>
    <t>elasticity of substitution between regions in one subsector in subsector 3</t>
  </si>
  <si>
    <t>elasticity of substitution between regions in one subsector in subsector 4</t>
  </si>
  <si>
    <t>elasticity of substitution between regions in one subsector in subsector 5</t>
  </si>
  <si>
    <t>cost share of intermediate goods in subsector 1 and region 1</t>
  </si>
  <si>
    <t>cost share of intermediate goods in subsector 2 and region 1</t>
  </si>
  <si>
    <t>cost share of intermediate goods in subsector 3 and region 1</t>
  </si>
  <si>
    <t>cost share of intermediate goods in subsector 4 and region 1</t>
  </si>
  <si>
    <t>cost share of intermediate goods in subsector 5 and region 1</t>
  </si>
  <si>
    <t>final use import shares in subsector 1 and region 1</t>
  </si>
  <si>
    <t>final use import shares in subsector 2 and region 1</t>
  </si>
  <si>
    <t>final use import shares in subsector 3 and region 1</t>
  </si>
  <si>
    <t>final use import shares in subsector 4 and region 1</t>
  </si>
  <si>
    <t>final use import shares in subsector 5 and region 1</t>
  </si>
  <si>
    <t>intermediate import shares in subsector 1 and region 1</t>
  </si>
  <si>
    <t>intermediate import shares in subsector 2 and region 1</t>
  </si>
  <si>
    <t>intermediate import shares in subsector 3 and region 1</t>
  </si>
  <si>
    <t>intermediate import shares in subsector 4 and region 1</t>
  </si>
  <si>
    <t>intermediate import shares in subsector 5 and region 1</t>
  </si>
  <si>
    <t>share of exports on revenues in subsector 1 and region 1</t>
  </si>
  <si>
    <t>share of exports on revenues in subsector 2 and region 1</t>
  </si>
  <si>
    <t>share of exports on revenues in subsector 3 and region 1</t>
  </si>
  <si>
    <t>share of exports on revenues in subsector 4 and region 1</t>
  </si>
  <si>
    <t>share of exports on revenues in subsector 5 and region 1</t>
  </si>
  <si>
    <t>elasticity of substitution between value added and intermediate products in subsector 1</t>
  </si>
  <si>
    <t>elasticity of substitution between value added and intermediate products in subsector 2</t>
  </si>
  <si>
    <t>elasticity of substitution between value added and intermediate products in subsector 3</t>
  </si>
  <si>
    <t>elasticity of substitution between value added and intermediate products in subsector 4</t>
  </si>
  <si>
    <t>elasticity of substitution between value added and intermediate products in subsector 5</t>
  </si>
  <si>
    <t>elasticity of substitution between intermediate products supplied by different aggregate sectors in subsector 1</t>
  </si>
  <si>
    <t>elasticity of substitution between intermediate products supplied by different aggregate sectors in subsector 2</t>
  </si>
  <si>
    <t>elasticity of substitution between intermediate products supplied by different aggregate sectors in subsector 3</t>
  </si>
  <si>
    <t>elasticity of substitution between intermediate products supplied by different aggregate sectors in subsector 4</t>
  </si>
  <si>
    <t>elasticity of substitution between intermediate products supplied by different aggregate sectors in subsector 5</t>
  </si>
  <si>
    <t>labour cost share in subsector 1 and region 1</t>
  </si>
  <si>
    <t>labour cost share in subsector 2 and region 1</t>
  </si>
  <si>
    <t>labour cost share in subsector 3 and region 1</t>
  </si>
  <si>
    <t>labour cost share in subsector 4 and region 1</t>
  </si>
  <si>
    <t>labour cost share in subsector 5 and region 1</t>
  </si>
  <si>
    <t>elasticity of substitution between labour and capital in subsector 1 and region 1</t>
  </si>
  <si>
    <t>elasticity of substitution between labour and capital in subsector 2 and region 1</t>
  </si>
  <si>
    <t>elasticity of substitution between labour and capital in subsector 3 and region 1</t>
  </si>
  <si>
    <t>elasticity of substitution between labour and capital in subsector 4 and region 1</t>
  </si>
  <si>
    <t>elasticity of substitution between labour and capital in subsector 5 and region 1</t>
  </si>
  <si>
    <t>capital-income tax rate paid by firms in subsector 1 and region 1</t>
  </si>
  <si>
    <t>capital-income tax rate paid by firms in subsector 2 and region 1</t>
  </si>
  <si>
    <t>capital-income tax rate paid by firms in subsector 3 and region 1</t>
  </si>
  <si>
    <t>capital-income tax rate paid by firms in subsector 4 and region 1</t>
  </si>
  <si>
    <t>capital-income tax rate paid by firms in subsector 5 and region 1</t>
  </si>
  <si>
    <t>labour-income tax rate paid by firms in subsector 1 and region 1</t>
  </si>
  <si>
    <t>labour-income tax rate paid by firms in subsector 2 and region 1</t>
  </si>
  <si>
    <t>labour-income tax rate paid by firms in subsector 3 and region 1</t>
  </si>
  <si>
    <t>labour-income tax rate paid by firms in subsector 4 and region 1</t>
  </si>
  <si>
    <t>labour-income tax rate paid by firms in subsector 5 and region 1</t>
  </si>
  <si>
    <t>share of ETS-covered emissions allocated to each subsector and region in subsector 1 and region 1</t>
  </si>
  <si>
    <t>share of ETS-covered emissions allocated to each subsector and region in subsector 2 and region 1</t>
  </si>
  <si>
    <t>share of ETS-covered emissions allocated to each subsector and region in subsector 3 and region 1</t>
  </si>
  <si>
    <t>share of ETS-covered emissions allocated to each subsector and region in subsector 4 and region 1</t>
  </si>
  <si>
    <t>share of ETS-covered emissions allocated to each subsector and region in subsector 5 and region 1</t>
  </si>
  <si>
    <t>share of non-ETS emissions allocated to each subsector and region in subsector 1 and region 1</t>
  </si>
  <si>
    <t>share of non-ETS emissions allocated to each subsector and region in subsector 2 and region 1</t>
  </si>
  <si>
    <t>share of non-ETS emissions allocated to each subsector and region in subsector 3 and region 1</t>
  </si>
  <si>
    <t>share of non-ETS emissions allocated to each subsector and region in subsector 4 and region 1</t>
  </si>
  <si>
    <t>share of non-ETS emissions allocated to each subsector and region in subsector 5 and region 1</t>
  </si>
  <si>
    <t>share of inputs from another sector for each subsector in subsector 1 and region 1 from sector 1</t>
  </si>
  <si>
    <t>share of inputs from another sector for each subsector in subsector 1 and region 1 from sector 2</t>
  </si>
  <si>
    <t>share of inputs from another sector for each subsector in subsector 1 and region 1 from sector 3</t>
  </si>
  <si>
    <t>share of inputs from another sector for each subsector in subsector 1 and region 1 from sector 4</t>
  </si>
  <si>
    <t>share of inputs from another sector for each subsector in subsector 2 and region 1 from sector 1</t>
  </si>
  <si>
    <t>share of inputs from another sector for each subsector in subsector 2 and region 1 from sector 2</t>
  </si>
  <si>
    <t>share of inputs from another sector for each subsector in subsector 2 and region 1 from sector 3</t>
  </si>
  <si>
    <t>share of inputs from another sector for each subsector in subsector 2 and region 1 from sector 4</t>
  </si>
  <si>
    <t>share of inputs from another sector for each subsector in subsector 3 and region 1 from sector 1</t>
  </si>
  <si>
    <t>share of inputs from another sector for each subsector in subsector 3 and region 1 from sector 2</t>
  </si>
  <si>
    <t>share of inputs from another sector for each subsector in subsector 3 and region 1 from sector 3</t>
  </si>
  <si>
    <t>share of inputs from another sector for each subsector in subsector 3 and region 1 from sector 4</t>
  </si>
  <si>
    <t>share of inputs from another sector for each subsector in subsector 4 and region 1 from sector 1</t>
  </si>
  <si>
    <t>share of inputs from another sector for each subsector in subsector 4 and region 1 from sector 2</t>
  </si>
  <si>
    <t>share of inputs from another sector for each subsector in subsector 4 and region 1 from sector 3</t>
  </si>
  <si>
    <t>share of inputs from another sector for each subsector in subsector 4 and region 1 from sector 4</t>
  </si>
  <si>
    <t>share of inputs from another sector for each subsector in subsector 5 and region 1 from sector 1</t>
  </si>
  <si>
    <t>share of inputs from another sector for each subsector in subsector 5 and region 1 from sector 2</t>
  </si>
  <si>
    <t>share of inputs from another sector for each subsector in subsector 5 and region 1 from sector 3</t>
  </si>
  <si>
    <t>share of inputs from another sector for each subsector in subsector 5 and region 1 from sector 4</t>
  </si>
  <si>
    <t>share of emissions on total emissions for each sector using products from another sector as input in sector 1 and region 1 from sector 1</t>
  </si>
  <si>
    <t>share of emissions on total emissions for each sector using products from another sector as input in sector 1 and region 1 from sector 2</t>
  </si>
  <si>
    <t>share of emissions on total emissions for each sector using products from another sector as input in sector 1 and region 1 from sector 3</t>
  </si>
  <si>
    <t>share of emissions on total emissions for each sector using products from another sector as input in sector 1 and region 1 from sector 4</t>
  </si>
  <si>
    <t>share of emissions on total emissions for each sector using products from another sector as input in sector 2 and region 1 from sector 1</t>
  </si>
  <si>
    <t>share of emissions on total emissions for each sector using products from another sector as input in sector 2 and region 1 from sector 2</t>
  </si>
  <si>
    <t>share of emissions on total emissions for each sector using products from another sector as input in sector 2 and region 1 from sector 3</t>
  </si>
  <si>
    <t>share of emissions on total emissions for each sector using products from another sector as input in sector 2 and region 1 from sector 4</t>
  </si>
  <si>
    <t>share of emissions on total emissions for each sector using products from another sector as input in sector 3 and region 1 from sector 1</t>
  </si>
  <si>
    <t>share of emissions on total emissions for each sector using products from another sector as input in sector 3 and region 1 from sector 2</t>
  </si>
  <si>
    <t>share of emissions on total emissions for each sector using products from another sector as input in sector 3 and region 1 from sector 3</t>
  </si>
  <si>
    <t>share of emissions on total emissions for each sector using products from another sector as input in sector 3 and region 1 from sector 4</t>
  </si>
  <si>
    <t>share of emissions on total emissions for each sector using products from another sector as input in sector 4 and region 1 from sector 1</t>
  </si>
  <si>
    <t>share of emissions on total emissions for each sector using products from another sector as input in sector 4 and region 1 from sector 2</t>
  </si>
  <si>
    <t>share of emissions on total emissions for each sector using products from another sector as input in sector 4 and region 1 from sector 3</t>
  </si>
  <si>
    <t>share of emissions on total emissions for each sector using products from another sector as input in sector 4 and region 1 from sector 4</t>
  </si>
  <si>
    <t>share of emissions on total emissions for each sector using products from another sector as input in sector 5 and region 1 from sector 1</t>
  </si>
  <si>
    <t>share of emissions on total emissions for each sector using products from another sector as input in sector 5 and region 1 from sector 2</t>
  </si>
  <si>
    <t>share of emissions on total emissions for each sector using products from another sector as input in sector 5 and region 1 from sector 3</t>
  </si>
  <si>
    <t>share of emissions on total emissions for each sector using products from another sector as input in sector 5 and region 1 from sector 4</t>
  </si>
  <si>
    <t>share of production used in one region from another region in the subsector in subsector 1 and region 1 from region 1</t>
  </si>
  <si>
    <t>share of production used in one region from another region in the subsector in subsector 2 and region 1 from region 1</t>
  </si>
  <si>
    <t>share of production used in one region from another region in the subsector in subsector 3 and region 1 from region 1</t>
  </si>
  <si>
    <t>share of production used in one region from another region in the subsector in subsector 4 and region 1 from region 1</t>
  </si>
  <si>
    <t>share of production used in one region from another region in the subsector in subsector 5 and region 1 from region 1</t>
  </si>
  <si>
    <t>depreciation rate in subsector 1 and region 1</t>
  </si>
  <si>
    <t>depreciation rate in subsector 2 and region 1</t>
  </si>
  <si>
    <t>depreciation rate in subsector 3 and region 1</t>
  </si>
  <si>
    <t>depreciation rate in subsector 4 and region 1</t>
  </si>
  <si>
    <t>depreciation rate in subsector 5 and region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</si>
</sst>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000"/>
  </numFmts>
  <fonts count="5" x14ac:knownFonts="1">
    <font>
      <sz val="11"/>
      <name val="Calibri"/>
    </font>
    <font>
      <b/>
      <sz val="11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11" fontId="0" fillId="3" borderId="2" xfId="0" applyNumberFormat="1" applyFill="1" applyBorder="1" applyAlignment="1">
      <alignment horizontal="center" vertical="center"/>
    </xf>
    <xf numFmtId="11" fontId="0" fillId="5" borderId="2" xfId="0" applyNumberFormat="1" applyFill="1" applyBorder="1" applyAlignment="1">
      <alignment horizontal="center" vertical="center"/>
    </xf>
    <xf numFmtId="0" fontId="0" fillId="3" borderId="3" xfId="0" applyFill="1" applyBorder="1"/>
    <xf numFmtId="1" fontId="0" fillId="3" borderId="4" xfId="0" applyNumberFormat="1" applyFill="1" applyBorder="1"/>
    <xf numFmtId="1" fontId="0" fillId="4" borderId="2" xfId="0" applyNumberFormat="1" applyFill="1" applyBorder="1"/>
    <xf numFmtId="0" fontId="3" fillId="0" borderId="0" xfId="0" applyFont="1" applyAlignment="1">
      <alignment horizontal="left" vertical="center"/>
    </xf>
    <xf numFmtId="0" fontId="0" fillId="0" borderId="5" xfId="0" applyBorder="1"/>
    <xf numFmtId="164" fontId="0" fillId="0" borderId="0" xfId="0" applyNumberFormat="1"/>
    <xf numFmtId="0" fontId="0" fillId="7" borderId="0" xfId="0" applyFill="1"/>
    <xf numFmtId="11" fontId="0" fillId="0" borderId="0" xfId="0" applyNumberFormat="1"/>
    <xf numFmtId="0" fontId="4" fillId="8" borderId="0" xfId="0" applyFont="1" applyFill="1"/>
    <xf numFmtId="2" fontId="0" fillId="0" borderId="0" xfId="0" applyNumberFormat="1"/>
    <xf numFmtId="0" fontId="0" fillId="7" borderId="0" xfId="0" applyFill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BD904-C2A9-4F4A-8210-74DF81B7BB70}">
  <dimension ref="A1:C13"/>
  <sheetViews>
    <sheetView workbookViewId="0">
      <selection sqref="A1:C1"/>
    </sheetView>
  </sheetViews>
  <sheetFormatPr defaultRowHeight="15" x14ac:dyDescent="0.25"/>
  <cols>
    <col min="1" max="1" width="20.42578125" customWidth="1"/>
    <col min="2" max="2" width="45.28515625" customWidth="1"/>
  </cols>
  <sheetData>
    <row r="1" spans="1:3" x14ac:dyDescent="0.25">
      <c r="A1" s="27" t="s">
        <v>0</v>
      </c>
      <c r="B1" s="26"/>
      <c r="C1" s="26"/>
    </row>
    <row r="2" spans="1:3" x14ac:dyDescent="0.25">
      <c r="A2" t="s">
        <v>1</v>
      </c>
      <c r="B2" t="s">
        <v>7</v>
      </c>
    </row>
    <row r="3" spans="1:3" x14ac:dyDescent="0.25">
      <c r="A3" t="s">
        <v>2</v>
      </c>
      <c r="B3" t="s">
        <v>8</v>
      </c>
    </row>
    <row r="4" spans="1:3" x14ac:dyDescent="0.25">
      <c r="A4" t="s">
        <v>3</v>
      </c>
      <c r="B4" t="s">
        <v>9</v>
      </c>
    </row>
    <row r="5" spans="1:3" x14ac:dyDescent="0.25">
      <c r="A5" t="s">
        <v>4</v>
      </c>
      <c r="B5" t="s">
        <v>10</v>
      </c>
    </row>
    <row r="6" spans="1:3" x14ac:dyDescent="0.25">
      <c r="A6" s="27" t="s">
        <v>5</v>
      </c>
      <c r="B6" s="26"/>
      <c r="C6" s="26"/>
    </row>
    <row r="7" spans="1:3" x14ac:dyDescent="0.25">
      <c r="A7">
        <v>1</v>
      </c>
      <c r="B7" t="s">
        <v>11</v>
      </c>
    </row>
    <row r="8" spans="1:3" x14ac:dyDescent="0.25">
      <c r="A8" s="27" t="s">
        <v>6</v>
      </c>
      <c r="B8" s="26"/>
      <c r="C8" s="26"/>
    </row>
    <row r="9" spans="1:3" x14ac:dyDescent="0.25">
      <c r="A9">
        <v>1</v>
      </c>
      <c r="B9" t="s">
        <v>12</v>
      </c>
    </row>
    <row r="10" spans="1:3" x14ac:dyDescent="0.25">
      <c r="A10">
        <v>2</v>
      </c>
      <c r="B10" t="s">
        <v>13</v>
      </c>
    </row>
    <row r="11" spans="1:3" x14ac:dyDescent="0.25">
      <c r="A11">
        <v>3</v>
      </c>
      <c r="B11" t="s">
        <v>14</v>
      </c>
    </row>
    <row r="12" spans="1:3" x14ac:dyDescent="0.25">
      <c r="A12">
        <v>4</v>
      </c>
      <c r="B12" t="s">
        <v>15</v>
      </c>
    </row>
    <row r="13" spans="1:3" x14ac:dyDescent="0.25">
      <c r="A13">
        <v>5</v>
      </c>
      <c r="B13" t="s">
        <v>16</v>
      </c>
    </row>
  </sheetData>
  <mergeCells count="3">
    <mergeCell ref="A1:C1"/>
    <mergeCell ref="A6:C6"/>
    <mergeCell ref="A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F9FE7-6F4A-442E-9460-8082EFE73AC1}">
  <dimension ref="A1:L10"/>
  <sheetViews>
    <sheetView workbookViewId="0"/>
  </sheetViews>
  <sheetFormatPr defaultRowHeight="15" x14ac:dyDescent="0.25"/>
  <cols>
    <col min="1" max="1" width="81.140625" customWidth="1"/>
    <col min="2" max="2" width="12" customWidth="1"/>
    <col min="3" max="3" width="15.7109375" customWidth="1"/>
    <col min="4" max="4" width="14.7109375" customWidth="1"/>
    <col min="5" max="7" width="15.7109375" customWidth="1"/>
    <col min="8" max="8" width="14.7109375" customWidth="1"/>
    <col min="9" max="9" width="25" customWidth="1"/>
    <col min="10" max="10" width="15.7109375" customWidth="1"/>
    <col min="11" max="11" width="17.140625" customWidth="1"/>
    <col min="12" max="12" width="22.28515625" customWidth="1"/>
  </cols>
  <sheetData>
    <row r="1" spans="1:12" ht="21.95" customHeight="1" x14ac:dyDescent="0.25">
      <c r="A1" s="1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44.1" customHeight="1" x14ac:dyDescent="0.25">
      <c r="A2" s="3" t="s">
        <v>18</v>
      </c>
      <c r="B2" s="3" t="s">
        <v>22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</row>
    <row r="3" spans="1:12" ht="15.95" customHeight="1" x14ac:dyDescent="0.25">
      <c r="A3" s="5" t="s">
        <v>19</v>
      </c>
      <c r="B3" s="4"/>
      <c r="C3" s="4"/>
      <c r="D3" s="4"/>
      <c r="E3" s="4"/>
      <c r="F3" s="4"/>
      <c r="G3" s="4"/>
      <c r="H3" s="6"/>
      <c r="I3" s="6"/>
      <c r="J3" s="6"/>
      <c r="K3" s="6"/>
      <c r="L3" s="6"/>
    </row>
    <row r="4" spans="1:12" x14ac:dyDescent="0.25">
      <c r="A4" s="7" t="s">
        <v>12</v>
      </c>
      <c r="B4" s="7" t="s">
        <v>12</v>
      </c>
      <c r="C4" s="8">
        <v>1.44222269304676E-2</v>
      </c>
      <c r="D4" s="8">
        <v>3.7320342219725202E-3</v>
      </c>
      <c r="E4" s="8">
        <v>3.6616301746542198E-4</v>
      </c>
      <c r="F4" s="8">
        <v>2.7046072302106101E-2</v>
      </c>
      <c r="G4" s="8">
        <v>4.9752014633807299E-3</v>
      </c>
      <c r="H4" s="11">
        <v>6.9606135777650199E-3</v>
      </c>
      <c r="I4" s="12">
        <v>2.1345398939753801E-2</v>
      </c>
      <c r="J4" s="12">
        <v>3.9525934010030003E-2</v>
      </c>
      <c r="K4" s="12">
        <v>4.3849021879782603E-2</v>
      </c>
      <c r="L4" s="11">
        <v>0.18421936911787201</v>
      </c>
    </row>
    <row r="5" spans="1:12" x14ac:dyDescent="0.25">
      <c r="A5" s="9" t="s">
        <v>20</v>
      </c>
      <c r="B5" s="9" t="s">
        <v>13</v>
      </c>
      <c r="C5" s="10">
        <v>6.4131046250132996E-4</v>
      </c>
      <c r="D5" s="10">
        <v>1.1981435075267499E-2</v>
      </c>
      <c r="E5" s="10">
        <v>2.62936200857761E-4</v>
      </c>
      <c r="F5" s="10">
        <v>3.4208064696140401E-3</v>
      </c>
      <c r="G5" s="10">
        <v>2.6644574159631301E-3</v>
      </c>
      <c r="H5" s="11">
        <v>4.6139329963357104E-3</v>
      </c>
      <c r="I5" s="12">
        <v>1.9046009569366001E-2</v>
      </c>
      <c r="J5" s="12">
        <v>6.2225054861662198E-3</v>
      </c>
      <c r="K5" s="12">
        <v>1.8617519651186701E-2</v>
      </c>
      <c r="L5" s="11">
        <v>2.9001364893822601E-2</v>
      </c>
    </row>
    <row r="6" spans="1:12" x14ac:dyDescent="0.25">
      <c r="A6" s="7" t="s">
        <v>20</v>
      </c>
      <c r="B6" s="7" t="s">
        <v>14</v>
      </c>
      <c r="C6" s="13">
        <v>1.280984048025E-5</v>
      </c>
      <c r="D6" s="8">
        <v>1.6536725084701301E-3</v>
      </c>
      <c r="E6" s="13">
        <v>6.7276093480473793E-5</v>
      </c>
      <c r="F6" s="8">
        <v>5.5382681947262701E-4</v>
      </c>
      <c r="G6" s="8">
        <v>3.90253282396369E-4</v>
      </c>
      <c r="H6" s="14">
        <v>5.9458449010926502E-5</v>
      </c>
      <c r="I6" s="12">
        <v>3.5363100675160202E-4</v>
      </c>
      <c r="J6" s="12">
        <v>7.2204021226881599E-4</v>
      </c>
      <c r="K6" s="12">
        <v>3.3232510115608002E-3</v>
      </c>
      <c r="L6" s="11">
        <v>3.36522831688537E-3</v>
      </c>
    </row>
    <row r="7" spans="1:12" x14ac:dyDescent="0.25">
      <c r="A7" s="9" t="s">
        <v>15</v>
      </c>
      <c r="B7" s="9" t="s">
        <v>15</v>
      </c>
      <c r="C7" s="10">
        <v>6.8289060727302606E-2</v>
      </c>
      <c r="D7" s="10">
        <v>2.09100803164061E-2</v>
      </c>
      <c r="E7" s="10">
        <v>3.1774698105269299E-3</v>
      </c>
      <c r="F7" s="10">
        <v>0.33230489238954602</v>
      </c>
      <c r="G7" s="10">
        <v>5.2534316283934797E-2</v>
      </c>
      <c r="H7" s="11">
        <v>0.26208945244385901</v>
      </c>
      <c r="I7" s="12">
        <v>0.181111309312077</v>
      </c>
      <c r="J7" s="12">
        <v>7.6328942267527095E-2</v>
      </c>
      <c r="K7" s="12">
        <v>0.112422074941918</v>
      </c>
      <c r="L7" s="11">
        <v>0.35574793972965002</v>
      </c>
    </row>
    <row r="8" spans="1:12" x14ac:dyDescent="0.25">
      <c r="A8" s="7" t="s">
        <v>16</v>
      </c>
      <c r="B8" s="7" t="s">
        <v>16</v>
      </c>
      <c r="C8" s="8">
        <v>5.8979093180919996E-3</v>
      </c>
      <c r="D8" s="8">
        <v>1.28747869078953E-2</v>
      </c>
      <c r="E8" s="8">
        <v>1.5030145154121401E-3</v>
      </c>
      <c r="F8" s="8">
        <v>3.7154401221751503E-2</v>
      </c>
      <c r="G8" s="8">
        <v>5.0678527879484798E-2</v>
      </c>
      <c r="H8" s="11">
        <v>3.36508607041189E-2</v>
      </c>
      <c r="I8" s="12">
        <v>2.5526241462421599E-2</v>
      </c>
      <c r="J8" s="12">
        <v>9.17596344321297E-2</v>
      </c>
      <c r="K8" s="12">
        <v>0.152319844922846</v>
      </c>
      <c r="L8" s="11">
        <v>0.42766609794177102</v>
      </c>
    </row>
    <row r="9" spans="1:12" ht="5.0999999999999996" customHeight="1" x14ac:dyDescent="0.25">
      <c r="A9" s="15"/>
      <c r="B9" s="15"/>
      <c r="C9" s="16"/>
      <c r="D9" s="16"/>
      <c r="E9" s="16"/>
      <c r="F9" s="16"/>
      <c r="G9" s="16"/>
      <c r="H9" s="16"/>
      <c r="I9" s="16"/>
      <c r="J9" s="16"/>
      <c r="K9" s="16"/>
      <c r="L9" s="17"/>
    </row>
    <row r="10" spans="1:12" ht="15.95" customHeight="1" x14ac:dyDescent="0.25">
      <c r="A10" s="18" t="s">
        <v>21</v>
      </c>
      <c r="B10" s="19"/>
      <c r="C10" s="11">
        <v>3.5541008973436201E-3</v>
      </c>
      <c r="D10" s="11">
        <v>1.63033360104539E-3</v>
      </c>
      <c r="E10" s="14">
        <v>1.2434776358848501E-5</v>
      </c>
      <c r="F10" s="11">
        <v>3.8262887217700499E-2</v>
      </c>
      <c r="G10" s="11">
        <v>3.1851583840066199E-3</v>
      </c>
      <c r="H10" s="17"/>
      <c r="I10" s="17"/>
      <c r="J10" s="17"/>
      <c r="K10" s="17"/>
      <c r="L10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E47B9-4752-4568-8A01-A3519EC94F50}">
  <dimension ref="A1:AL21"/>
  <sheetViews>
    <sheetView workbookViewId="0"/>
  </sheetViews>
  <sheetFormatPr defaultRowHeight="15" x14ac:dyDescent="0.25"/>
  <cols>
    <col min="1" max="1" width="11.85546875" bestFit="1" customWidth="1"/>
    <col min="2" max="2" width="7.140625" bestFit="1" customWidth="1"/>
    <col min="3" max="3" width="25.5703125" bestFit="1" customWidth="1"/>
    <col min="4" max="4" width="25.140625" bestFit="1" customWidth="1"/>
    <col min="5" max="5" width="18.140625" bestFit="1" customWidth="1"/>
    <col min="6" max="6" width="15.85546875" bestFit="1" customWidth="1"/>
    <col min="7" max="7" width="27.7109375" bestFit="1" customWidth="1"/>
    <col min="8" max="8" width="20.140625" bestFit="1" customWidth="1"/>
    <col min="9" max="9" width="19.7109375" bestFit="1" customWidth="1"/>
    <col min="10" max="10" width="18.28515625" bestFit="1" customWidth="1"/>
    <col min="12" max="12" width="11.85546875" bestFit="1" customWidth="1"/>
    <col min="13" max="13" width="7.140625" bestFit="1" customWidth="1"/>
    <col min="14" max="14" width="14.85546875" bestFit="1" customWidth="1"/>
    <col min="15" max="15" width="30.5703125" bestFit="1" customWidth="1"/>
    <col min="16" max="16" width="22.140625" bestFit="1" customWidth="1"/>
    <col min="18" max="18" width="11.85546875" bestFit="1" customWidth="1"/>
    <col min="19" max="19" width="15.42578125" bestFit="1" customWidth="1"/>
    <col min="20" max="20" width="20.42578125" bestFit="1" customWidth="1"/>
    <col min="21" max="21" width="48.5703125" bestFit="1" customWidth="1"/>
    <col min="23" max="23" width="7.140625" bestFit="1" customWidth="1"/>
    <col min="24" max="24" width="31.7109375" bestFit="1" customWidth="1"/>
    <col min="25" max="25" width="31.42578125" bestFit="1" customWidth="1"/>
    <col min="26" max="26" width="23" bestFit="1" customWidth="1"/>
    <col min="27" max="27" width="22.42578125" bestFit="1" customWidth="1"/>
    <col min="28" max="28" width="22.7109375" bestFit="1" customWidth="1"/>
    <col min="29" max="29" width="25.7109375" bestFit="1" customWidth="1"/>
    <col min="31" max="31" width="7.140625" bestFit="1" customWidth="1"/>
    <col min="32" max="32" width="39.28515625" bestFit="1" customWidth="1"/>
    <col min="34" max="34" width="14.7109375" bestFit="1" customWidth="1"/>
    <col min="35" max="35" width="15.85546875" bestFit="1" customWidth="1"/>
    <col min="37" max="37" width="46.85546875" bestFit="1" customWidth="1"/>
    <col min="38" max="38" width="15.85546875" bestFit="1" customWidth="1"/>
  </cols>
  <sheetData>
    <row r="1" spans="1:38" x14ac:dyDescent="0.25">
      <c r="A1" s="20" t="s">
        <v>28</v>
      </c>
      <c r="B1" s="20" t="s">
        <v>29</v>
      </c>
      <c r="C1" s="20" t="s">
        <v>30</v>
      </c>
      <c r="D1" s="20" t="s">
        <v>31</v>
      </c>
      <c r="E1" s="20" t="s">
        <v>32</v>
      </c>
      <c r="F1" s="20" t="s">
        <v>23</v>
      </c>
      <c r="G1" s="20" t="s">
        <v>33</v>
      </c>
      <c r="H1" s="20" t="s">
        <v>34</v>
      </c>
      <c r="I1" s="20" t="s">
        <v>35</v>
      </c>
      <c r="J1" s="20" t="s">
        <v>36</v>
      </c>
      <c r="L1" s="20" t="s">
        <v>22</v>
      </c>
      <c r="M1" s="20" t="s">
        <v>29</v>
      </c>
      <c r="N1" s="20" t="s">
        <v>38</v>
      </c>
      <c r="O1" s="20" t="s">
        <v>39</v>
      </c>
      <c r="P1" s="20" t="s">
        <v>40</v>
      </c>
      <c r="R1" s="20" t="s">
        <v>22</v>
      </c>
      <c r="S1" s="20" t="s">
        <v>41</v>
      </c>
      <c r="T1" s="20" t="s">
        <v>42</v>
      </c>
      <c r="U1" s="20" t="s">
        <v>43</v>
      </c>
      <c r="W1" s="20" t="s">
        <v>29</v>
      </c>
      <c r="X1" s="20" t="s">
        <v>44</v>
      </c>
      <c r="Y1" s="20" t="s">
        <v>45</v>
      </c>
      <c r="Z1" s="20" t="s">
        <v>46</v>
      </c>
      <c r="AA1" s="20" t="s">
        <v>47</v>
      </c>
      <c r="AB1" s="20" t="s">
        <v>48</v>
      </c>
      <c r="AC1" s="20" t="s">
        <v>49</v>
      </c>
      <c r="AE1" s="20" t="s">
        <v>29</v>
      </c>
      <c r="AF1" s="20" t="s">
        <v>50</v>
      </c>
      <c r="AH1" s="20" t="s">
        <v>51</v>
      </c>
      <c r="AI1" s="20" t="s">
        <v>52</v>
      </c>
      <c r="AK1" s="20" t="s">
        <v>51</v>
      </c>
      <c r="AL1" s="20" t="s">
        <v>52</v>
      </c>
    </row>
    <row r="2" spans="1:38" x14ac:dyDescent="0.25">
      <c r="A2" s="20" t="s">
        <v>12</v>
      </c>
      <c r="B2" s="20" t="s">
        <v>11</v>
      </c>
      <c r="C2" s="20" t="s">
        <v>37</v>
      </c>
      <c r="D2" s="20" t="s">
        <v>37</v>
      </c>
      <c r="E2" s="20" t="s">
        <v>37</v>
      </c>
      <c r="F2" s="20" t="s">
        <v>37</v>
      </c>
      <c r="G2" s="20" t="s">
        <v>37</v>
      </c>
      <c r="H2" s="20" t="s">
        <v>37</v>
      </c>
      <c r="I2" s="20" t="s">
        <v>37</v>
      </c>
      <c r="J2" s="20" t="s">
        <v>37</v>
      </c>
      <c r="L2" s="20" t="s">
        <v>12</v>
      </c>
      <c r="M2" s="20" t="s">
        <v>11</v>
      </c>
      <c r="N2" s="20" t="s">
        <v>12</v>
      </c>
      <c r="O2" s="20" t="s">
        <v>37</v>
      </c>
      <c r="P2" s="20" t="s">
        <v>37</v>
      </c>
      <c r="R2" s="20" t="s">
        <v>12</v>
      </c>
      <c r="S2" s="20" t="s">
        <v>11</v>
      </c>
      <c r="T2" s="20" t="s">
        <v>11</v>
      </c>
      <c r="U2" s="20" t="s">
        <v>37</v>
      </c>
      <c r="W2" s="20" t="s">
        <v>11</v>
      </c>
      <c r="X2" s="20" t="s">
        <v>37</v>
      </c>
      <c r="Y2" s="20" t="s">
        <v>37</v>
      </c>
      <c r="Z2" s="20" t="s">
        <v>37</v>
      </c>
      <c r="AA2" s="20" t="s">
        <v>37</v>
      </c>
      <c r="AB2" s="20" t="s">
        <v>37</v>
      </c>
      <c r="AC2" s="20" t="s">
        <v>37</v>
      </c>
      <c r="AE2" s="20" t="s">
        <v>11</v>
      </c>
      <c r="AF2" s="20" t="s">
        <v>37</v>
      </c>
      <c r="AH2" s="20" t="s">
        <v>53</v>
      </c>
      <c r="AI2" s="20" t="s">
        <v>37</v>
      </c>
      <c r="AK2" s="20" t="s">
        <v>54</v>
      </c>
      <c r="AL2" s="20" t="s">
        <v>37</v>
      </c>
    </row>
    <row r="3" spans="1:38" x14ac:dyDescent="0.25">
      <c r="A3" s="20" t="s">
        <v>13</v>
      </c>
      <c r="B3" s="20" t="s">
        <v>11</v>
      </c>
      <c r="C3" s="20" t="s">
        <v>37</v>
      </c>
      <c r="D3" s="20" t="s">
        <v>37</v>
      </c>
      <c r="E3" s="20" t="s">
        <v>37</v>
      </c>
      <c r="F3" s="20" t="s">
        <v>37</v>
      </c>
      <c r="G3" s="20" t="s">
        <v>37</v>
      </c>
      <c r="H3" s="20" t="s">
        <v>37</v>
      </c>
      <c r="I3" s="20" t="s">
        <v>37</v>
      </c>
      <c r="J3" s="20" t="s">
        <v>37</v>
      </c>
      <c r="L3" s="20" t="s">
        <v>12</v>
      </c>
      <c r="M3" s="20" t="s">
        <v>11</v>
      </c>
      <c r="N3" s="20" t="s">
        <v>20</v>
      </c>
      <c r="O3" s="20" t="s">
        <v>37</v>
      </c>
      <c r="P3" s="20" t="s">
        <v>37</v>
      </c>
      <c r="R3" s="20" t="s">
        <v>13</v>
      </c>
      <c r="S3" s="20" t="s">
        <v>11</v>
      </c>
      <c r="T3" s="20" t="s">
        <v>11</v>
      </c>
      <c r="U3" s="20" t="s">
        <v>37</v>
      </c>
      <c r="AK3" s="20" t="s">
        <v>55</v>
      </c>
      <c r="AL3" s="20" t="s">
        <v>37</v>
      </c>
    </row>
    <row r="4" spans="1:38" x14ac:dyDescent="0.25">
      <c r="A4" s="20" t="s">
        <v>14</v>
      </c>
      <c r="B4" s="20" t="s">
        <v>11</v>
      </c>
      <c r="C4" s="20" t="s">
        <v>37</v>
      </c>
      <c r="D4" s="20" t="s">
        <v>37</v>
      </c>
      <c r="E4" s="20" t="s">
        <v>37</v>
      </c>
      <c r="F4" s="20" t="s">
        <v>37</v>
      </c>
      <c r="G4" s="20" t="s">
        <v>37</v>
      </c>
      <c r="H4" s="20" t="s">
        <v>37</v>
      </c>
      <c r="I4" s="20" t="s">
        <v>37</v>
      </c>
      <c r="J4" s="20" t="s">
        <v>37</v>
      </c>
      <c r="L4" s="20" t="s">
        <v>12</v>
      </c>
      <c r="M4" s="20" t="s">
        <v>11</v>
      </c>
      <c r="N4" s="20" t="s">
        <v>15</v>
      </c>
      <c r="O4" s="20" t="s">
        <v>37</v>
      </c>
      <c r="P4" s="20" t="s">
        <v>37</v>
      </c>
      <c r="R4" s="20" t="s">
        <v>14</v>
      </c>
      <c r="S4" s="20" t="s">
        <v>11</v>
      </c>
      <c r="T4" s="20" t="s">
        <v>11</v>
      </c>
      <c r="U4" s="20" t="s">
        <v>37</v>
      </c>
      <c r="AK4" s="20" t="s">
        <v>56</v>
      </c>
      <c r="AL4" s="20" t="s">
        <v>37</v>
      </c>
    </row>
    <row r="5" spans="1:38" x14ac:dyDescent="0.25">
      <c r="A5" s="20" t="s">
        <v>15</v>
      </c>
      <c r="B5" s="20" t="s">
        <v>11</v>
      </c>
      <c r="C5" s="20" t="s">
        <v>37</v>
      </c>
      <c r="D5" s="20" t="s">
        <v>37</v>
      </c>
      <c r="E5" s="20" t="s">
        <v>37</v>
      </c>
      <c r="F5" s="20" t="s">
        <v>37</v>
      </c>
      <c r="G5" s="20" t="s">
        <v>37</v>
      </c>
      <c r="H5" s="20" t="s">
        <v>37</v>
      </c>
      <c r="I5" s="20" t="s">
        <v>37</v>
      </c>
      <c r="J5" s="20" t="s">
        <v>37</v>
      </c>
      <c r="L5" s="20" t="s">
        <v>12</v>
      </c>
      <c r="M5" s="20" t="s">
        <v>11</v>
      </c>
      <c r="N5" s="20" t="s">
        <v>16</v>
      </c>
      <c r="O5" s="20" t="s">
        <v>37</v>
      </c>
      <c r="P5" s="20" t="s">
        <v>37</v>
      </c>
      <c r="R5" s="20" t="s">
        <v>15</v>
      </c>
      <c r="S5" s="20" t="s">
        <v>11</v>
      </c>
      <c r="T5" s="20" t="s">
        <v>11</v>
      </c>
      <c r="U5" s="20" t="s">
        <v>37</v>
      </c>
      <c r="AK5" s="20" t="s">
        <v>57</v>
      </c>
      <c r="AL5" s="20" t="s">
        <v>37</v>
      </c>
    </row>
    <row r="6" spans="1:38" x14ac:dyDescent="0.25">
      <c r="A6" s="20" t="s">
        <v>16</v>
      </c>
      <c r="B6" s="20" t="s">
        <v>11</v>
      </c>
      <c r="C6" s="20" t="s">
        <v>37</v>
      </c>
      <c r="D6" s="20" t="s">
        <v>37</v>
      </c>
      <c r="E6" s="20" t="s">
        <v>37</v>
      </c>
      <c r="F6" s="20" t="s">
        <v>37</v>
      </c>
      <c r="G6" s="20" t="s">
        <v>37</v>
      </c>
      <c r="H6" s="20" t="s">
        <v>37</v>
      </c>
      <c r="I6" s="20" t="s">
        <v>37</v>
      </c>
      <c r="J6" s="20" t="s">
        <v>37</v>
      </c>
      <c r="L6" s="20" t="s">
        <v>13</v>
      </c>
      <c r="M6" s="20" t="s">
        <v>11</v>
      </c>
      <c r="N6" s="20" t="s">
        <v>12</v>
      </c>
      <c r="O6" s="20" t="s">
        <v>37</v>
      </c>
      <c r="P6" s="20" t="s">
        <v>37</v>
      </c>
      <c r="R6" s="20" t="s">
        <v>16</v>
      </c>
      <c r="S6" s="20" t="s">
        <v>11</v>
      </c>
      <c r="T6" s="20" t="s">
        <v>11</v>
      </c>
      <c r="U6" s="20" t="s">
        <v>37</v>
      </c>
      <c r="AK6" s="20" t="s">
        <v>58</v>
      </c>
      <c r="AL6" s="20" t="s">
        <v>37</v>
      </c>
    </row>
    <row r="7" spans="1:38" x14ac:dyDescent="0.25">
      <c r="L7" s="20" t="s">
        <v>13</v>
      </c>
      <c r="M7" s="20" t="s">
        <v>11</v>
      </c>
      <c r="N7" s="20" t="s">
        <v>20</v>
      </c>
      <c r="O7" s="20" t="s">
        <v>37</v>
      </c>
      <c r="P7" s="20" t="s">
        <v>37</v>
      </c>
      <c r="AK7" s="20" t="s">
        <v>59</v>
      </c>
      <c r="AL7" s="20" t="s">
        <v>37</v>
      </c>
    </row>
    <row r="8" spans="1:38" x14ac:dyDescent="0.25">
      <c r="L8" s="20" t="s">
        <v>13</v>
      </c>
      <c r="M8" s="20" t="s">
        <v>11</v>
      </c>
      <c r="N8" s="20" t="s">
        <v>15</v>
      </c>
      <c r="O8" s="20" t="s">
        <v>37</v>
      </c>
      <c r="P8" s="20" t="s">
        <v>37</v>
      </c>
      <c r="AK8" s="20" t="s">
        <v>60</v>
      </c>
      <c r="AL8" s="20" t="s">
        <v>37</v>
      </c>
    </row>
    <row r="9" spans="1:38" x14ac:dyDescent="0.25">
      <c r="L9" s="20" t="s">
        <v>13</v>
      </c>
      <c r="M9" s="20" t="s">
        <v>11</v>
      </c>
      <c r="N9" s="20" t="s">
        <v>16</v>
      </c>
      <c r="O9" s="20" t="s">
        <v>37</v>
      </c>
      <c r="P9" s="20" t="s">
        <v>37</v>
      </c>
    </row>
    <row r="10" spans="1:38" x14ac:dyDescent="0.25">
      <c r="L10" s="20" t="s">
        <v>14</v>
      </c>
      <c r="M10" s="20" t="s">
        <v>11</v>
      </c>
      <c r="N10" s="20" t="s">
        <v>12</v>
      </c>
      <c r="O10" s="20" t="s">
        <v>37</v>
      </c>
      <c r="P10" s="20" t="s">
        <v>37</v>
      </c>
    </row>
    <row r="11" spans="1:38" x14ac:dyDescent="0.25">
      <c r="L11" s="20" t="s">
        <v>14</v>
      </c>
      <c r="M11" s="20" t="s">
        <v>11</v>
      </c>
      <c r="N11" s="20" t="s">
        <v>20</v>
      </c>
      <c r="O11" s="20" t="s">
        <v>37</v>
      </c>
      <c r="P11" s="20" t="s">
        <v>37</v>
      </c>
    </row>
    <row r="12" spans="1:38" x14ac:dyDescent="0.25">
      <c r="L12" s="20" t="s">
        <v>14</v>
      </c>
      <c r="M12" s="20" t="s">
        <v>11</v>
      </c>
      <c r="N12" s="20" t="s">
        <v>15</v>
      </c>
      <c r="O12" s="20" t="s">
        <v>37</v>
      </c>
      <c r="P12" s="20" t="s">
        <v>37</v>
      </c>
    </row>
    <row r="13" spans="1:38" x14ac:dyDescent="0.25">
      <c r="L13" s="20" t="s">
        <v>14</v>
      </c>
      <c r="M13" s="20" t="s">
        <v>11</v>
      </c>
      <c r="N13" s="20" t="s">
        <v>16</v>
      </c>
      <c r="O13" s="20" t="s">
        <v>37</v>
      </c>
      <c r="P13" s="20" t="s">
        <v>37</v>
      </c>
    </row>
    <row r="14" spans="1:38" x14ac:dyDescent="0.25">
      <c r="L14" s="20" t="s">
        <v>15</v>
      </c>
      <c r="M14" s="20" t="s">
        <v>11</v>
      </c>
      <c r="N14" s="20" t="s">
        <v>12</v>
      </c>
      <c r="O14" s="20" t="s">
        <v>37</v>
      </c>
      <c r="P14" s="20" t="s">
        <v>37</v>
      </c>
    </row>
    <row r="15" spans="1:38" x14ac:dyDescent="0.25">
      <c r="L15" s="20" t="s">
        <v>15</v>
      </c>
      <c r="M15" s="20" t="s">
        <v>11</v>
      </c>
      <c r="N15" s="20" t="s">
        <v>20</v>
      </c>
      <c r="O15" s="20" t="s">
        <v>37</v>
      </c>
      <c r="P15" s="20" t="s">
        <v>37</v>
      </c>
    </row>
    <row r="16" spans="1:38" x14ac:dyDescent="0.25">
      <c r="L16" s="20" t="s">
        <v>15</v>
      </c>
      <c r="M16" s="20" t="s">
        <v>11</v>
      </c>
      <c r="N16" s="20" t="s">
        <v>15</v>
      </c>
      <c r="O16" s="20" t="s">
        <v>37</v>
      </c>
      <c r="P16" s="20" t="s">
        <v>37</v>
      </c>
    </row>
    <row r="17" spans="12:16" x14ac:dyDescent="0.25">
      <c r="L17" s="20" t="s">
        <v>15</v>
      </c>
      <c r="M17" s="20" t="s">
        <v>11</v>
      </c>
      <c r="N17" s="20" t="s">
        <v>16</v>
      </c>
      <c r="O17" s="20" t="s">
        <v>37</v>
      </c>
      <c r="P17" s="20" t="s">
        <v>37</v>
      </c>
    </row>
    <row r="18" spans="12:16" x14ac:dyDescent="0.25">
      <c r="L18" s="20" t="s">
        <v>16</v>
      </c>
      <c r="M18" s="20" t="s">
        <v>11</v>
      </c>
      <c r="N18" s="20" t="s">
        <v>12</v>
      </c>
      <c r="O18" s="20" t="s">
        <v>37</v>
      </c>
      <c r="P18" s="20" t="s">
        <v>37</v>
      </c>
    </row>
    <row r="19" spans="12:16" x14ac:dyDescent="0.25">
      <c r="L19" s="20" t="s">
        <v>16</v>
      </c>
      <c r="M19" s="20" t="s">
        <v>11</v>
      </c>
      <c r="N19" s="20" t="s">
        <v>20</v>
      </c>
      <c r="O19" s="20" t="s">
        <v>37</v>
      </c>
      <c r="P19" s="20" t="s">
        <v>37</v>
      </c>
    </row>
    <row r="20" spans="12:16" x14ac:dyDescent="0.25">
      <c r="L20" s="20" t="s">
        <v>16</v>
      </c>
      <c r="M20" s="20" t="s">
        <v>11</v>
      </c>
      <c r="N20" s="20" t="s">
        <v>15</v>
      </c>
      <c r="O20" s="20" t="s">
        <v>37</v>
      </c>
      <c r="P20" s="20" t="s">
        <v>37</v>
      </c>
    </row>
    <row r="21" spans="12:16" x14ac:dyDescent="0.25">
      <c r="L21" s="20" t="s">
        <v>16</v>
      </c>
      <c r="M21" s="20" t="s">
        <v>11</v>
      </c>
      <c r="N21" s="20" t="s">
        <v>16</v>
      </c>
      <c r="O21" s="20" t="s">
        <v>37</v>
      </c>
      <c r="P21" s="20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13FC2-CFFE-4141-B9F8-52122B106D0A}">
  <dimension ref="A1:C51"/>
  <sheetViews>
    <sheetView topLeftCell="A22" zoomScale="145" zoomScaleNormal="145" workbookViewId="0">
      <selection activeCell="B6" sqref="B6"/>
    </sheetView>
  </sheetViews>
  <sheetFormatPr defaultRowHeight="15" x14ac:dyDescent="0.25"/>
  <cols>
    <col min="1" max="1" width="14.140625" customWidth="1"/>
    <col min="2" max="2" width="14.7109375" customWidth="1"/>
    <col min="3" max="3" width="60.42578125" customWidth="1"/>
  </cols>
  <sheetData>
    <row r="1" spans="1:3" x14ac:dyDescent="0.25">
      <c r="A1" s="21" t="s">
        <v>61</v>
      </c>
      <c r="B1" s="21" t="s">
        <v>52</v>
      </c>
      <c r="C1" s="21" t="s">
        <v>112</v>
      </c>
    </row>
    <row r="2" spans="1:3" x14ac:dyDescent="0.25">
      <c r="A2" t="s">
        <v>62</v>
      </c>
      <c r="B2">
        <v>5</v>
      </c>
      <c r="C2" t="s">
        <v>113</v>
      </c>
    </row>
    <row r="3" spans="1:3" x14ac:dyDescent="0.25">
      <c r="A3" s="25" t="s">
        <v>63</v>
      </c>
      <c r="B3" s="26"/>
      <c r="C3" s="26"/>
    </row>
    <row r="4" spans="1:3" x14ac:dyDescent="0.25">
      <c r="A4" t="s">
        <v>64</v>
      </c>
      <c r="B4">
        <v>0.25</v>
      </c>
      <c r="C4" t="s">
        <v>114</v>
      </c>
    </row>
    <row r="5" spans="1:3" x14ac:dyDescent="0.25">
      <c r="A5" s="25" t="s">
        <v>65</v>
      </c>
      <c r="B5" s="26"/>
      <c r="C5" s="26"/>
    </row>
    <row r="6" spans="1:3" x14ac:dyDescent="0.25">
      <c r="A6" t="s">
        <v>66</v>
      </c>
      <c r="B6">
        <v>0.3</v>
      </c>
      <c r="C6" t="s">
        <v>115</v>
      </c>
    </row>
    <row r="7" spans="1:3" x14ac:dyDescent="0.25">
      <c r="A7" t="s">
        <v>67</v>
      </c>
      <c r="B7">
        <v>9.5291000000000001E-2</v>
      </c>
      <c r="C7" t="s">
        <v>116</v>
      </c>
    </row>
    <row r="8" spans="1:3" x14ac:dyDescent="0.25">
      <c r="A8" s="25" t="s">
        <v>68</v>
      </c>
      <c r="B8" s="26"/>
      <c r="C8" s="26"/>
    </row>
    <row r="9" spans="1:3" x14ac:dyDescent="0.25">
      <c r="A9" t="s">
        <v>69</v>
      </c>
      <c r="B9">
        <v>0.22</v>
      </c>
      <c r="C9" t="s">
        <v>117</v>
      </c>
    </row>
    <row r="10" spans="1:3" x14ac:dyDescent="0.25">
      <c r="A10" t="s">
        <v>70</v>
      </c>
      <c r="B10">
        <v>0.78</v>
      </c>
      <c r="C10" t="s">
        <v>118</v>
      </c>
    </row>
    <row r="11" spans="1:3" x14ac:dyDescent="0.25">
      <c r="A11" s="25" t="s">
        <v>71</v>
      </c>
      <c r="B11" s="26"/>
      <c r="C11" s="26"/>
    </row>
    <row r="12" spans="1:3" x14ac:dyDescent="0.25">
      <c r="A12" t="s">
        <v>72</v>
      </c>
      <c r="B12">
        <v>0</v>
      </c>
      <c r="C12" t="s">
        <v>119</v>
      </c>
    </row>
    <row r="13" spans="1:3" x14ac:dyDescent="0.25">
      <c r="A13" s="25" t="s">
        <v>73</v>
      </c>
      <c r="B13" s="26"/>
      <c r="C13" s="26"/>
    </row>
    <row r="14" spans="1:3" x14ac:dyDescent="0.25">
      <c r="A14" t="s">
        <v>74</v>
      </c>
      <c r="B14">
        <f>83/1000</f>
        <v>8.3000000000000004E-2</v>
      </c>
      <c r="C14" t="s">
        <v>120</v>
      </c>
    </row>
    <row r="15" spans="1:3" x14ac:dyDescent="0.25">
      <c r="A15" s="25" t="s">
        <v>75</v>
      </c>
      <c r="B15" s="26"/>
      <c r="C15" s="26"/>
    </row>
    <row r="16" spans="1:3" x14ac:dyDescent="0.25">
      <c r="A16" t="s">
        <v>76</v>
      </c>
      <c r="B16">
        <v>1</v>
      </c>
      <c r="C16" t="s">
        <v>121</v>
      </c>
    </row>
    <row r="17" spans="1:3" x14ac:dyDescent="0.25">
      <c r="A17" s="25" t="s">
        <v>77</v>
      </c>
      <c r="B17" s="26"/>
      <c r="C17" s="26"/>
    </row>
    <row r="18" spans="1:3" x14ac:dyDescent="0.25">
      <c r="A18" t="s">
        <v>78</v>
      </c>
      <c r="B18" s="24">
        <v>0.68</v>
      </c>
      <c r="C18" t="s">
        <v>122</v>
      </c>
    </row>
    <row r="19" spans="1:3" x14ac:dyDescent="0.25">
      <c r="A19" s="25" t="s">
        <v>79</v>
      </c>
      <c r="B19" s="26"/>
      <c r="C19" s="26"/>
    </row>
    <row r="20" spans="1:3" x14ac:dyDescent="0.25">
      <c r="A20" t="s">
        <v>80</v>
      </c>
      <c r="B20">
        <f>25</f>
        <v>25</v>
      </c>
      <c r="C20" t="s">
        <v>123</v>
      </c>
    </row>
    <row r="21" spans="1:3" x14ac:dyDescent="0.25">
      <c r="A21" s="25" t="s">
        <v>81</v>
      </c>
      <c r="B21" s="26"/>
      <c r="C21" s="26"/>
    </row>
    <row r="22" spans="1:3" x14ac:dyDescent="0.25">
      <c r="A22" t="s">
        <v>82</v>
      </c>
      <c r="B22">
        <f>0</f>
        <v>0</v>
      </c>
      <c r="C22" t="s">
        <v>124</v>
      </c>
    </row>
    <row r="23" spans="1:3" x14ac:dyDescent="0.25">
      <c r="A23" t="s">
        <v>83</v>
      </c>
      <c r="B23">
        <f>0</f>
        <v>0</v>
      </c>
      <c r="C23" t="s">
        <v>125</v>
      </c>
    </row>
    <row r="24" spans="1:3" x14ac:dyDescent="0.25">
      <c r="A24" s="25" t="s">
        <v>84</v>
      </c>
      <c r="B24" s="26"/>
      <c r="C24" s="26"/>
    </row>
    <row r="25" spans="1:3" x14ac:dyDescent="0.25">
      <c r="A25" t="s">
        <v>85</v>
      </c>
      <c r="B25">
        <v>4.3849021879782603E-2</v>
      </c>
      <c r="C25" t="s">
        <v>126</v>
      </c>
    </row>
    <row r="26" spans="1:3" x14ac:dyDescent="0.25">
      <c r="A26" t="s">
        <v>86</v>
      </c>
      <c r="B26">
        <v>1.8617519651186701E-2</v>
      </c>
      <c r="C26" t="s">
        <v>127</v>
      </c>
    </row>
    <row r="27" spans="1:3" x14ac:dyDescent="0.25">
      <c r="A27" t="s">
        <v>87</v>
      </c>
      <c r="B27">
        <v>3.3232510115608002E-3</v>
      </c>
      <c r="C27" t="s">
        <v>128</v>
      </c>
    </row>
    <row r="28" spans="1:3" x14ac:dyDescent="0.25">
      <c r="A28" t="s">
        <v>88</v>
      </c>
      <c r="B28">
        <v>0.112422074941918</v>
      </c>
      <c r="C28" t="s">
        <v>129</v>
      </c>
    </row>
    <row r="29" spans="1:3" x14ac:dyDescent="0.25">
      <c r="A29" t="s">
        <v>89</v>
      </c>
      <c r="B29">
        <v>0.164273191041304</v>
      </c>
      <c r="C29" t="s">
        <v>130</v>
      </c>
    </row>
    <row r="30" spans="1:3" x14ac:dyDescent="0.25">
      <c r="A30" s="25" t="s">
        <v>90</v>
      </c>
      <c r="B30" s="26"/>
      <c r="C30" s="26"/>
    </row>
    <row r="31" spans="1:3" x14ac:dyDescent="0.25">
      <c r="A31" t="s">
        <v>91</v>
      </c>
      <c r="B31">
        <v>0.18421936911787201</v>
      </c>
      <c r="C31" t="s">
        <v>131</v>
      </c>
    </row>
    <row r="32" spans="1:3" x14ac:dyDescent="0.25">
      <c r="A32" t="s">
        <v>92</v>
      </c>
      <c r="B32">
        <v>2.9001364893822601E-2</v>
      </c>
      <c r="C32" t="s">
        <v>132</v>
      </c>
    </row>
    <row r="33" spans="1:3" x14ac:dyDescent="0.25">
      <c r="A33" t="s">
        <v>93</v>
      </c>
      <c r="B33">
        <v>3.36522831688537E-3</v>
      </c>
      <c r="C33" t="s">
        <v>133</v>
      </c>
    </row>
    <row r="34" spans="1:3" x14ac:dyDescent="0.25">
      <c r="A34" t="s">
        <v>94</v>
      </c>
      <c r="B34">
        <v>0.35574793972965002</v>
      </c>
      <c r="C34" t="s">
        <v>134</v>
      </c>
    </row>
    <row r="35" spans="1:3" x14ac:dyDescent="0.25">
      <c r="A35" t="s">
        <v>95</v>
      </c>
      <c r="B35">
        <v>0.42766609794177102</v>
      </c>
      <c r="C35" t="s">
        <v>135</v>
      </c>
    </row>
    <row r="36" spans="1:3" x14ac:dyDescent="0.25">
      <c r="A36" s="25" t="s">
        <v>96</v>
      </c>
      <c r="B36" s="26"/>
      <c r="C36" s="26"/>
    </row>
    <row r="37" spans="1:3" x14ac:dyDescent="0.25">
      <c r="A37" t="s">
        <v>97</v>
      </c>
      <c r="B37">
        <v>0.48</v>
      </c>
      <c r="C37" t="s">
        <v>136</v>
      </c>
    </row>
    <row r="38" spans="1:3" x14ac:dyDescent="0.25">
      <c r="A38" t="s">
        <v>98</v>
      </c>
      <c r="B38">
        <v>0.5</v>
      </c>
      <c r="C38" t="s">
        <v>137</v>
      </c>
    </row>
    <row r="39" spans="1:3" x14ac:dyDescent="0.25">
      <c r="A39" t="s">
        <v>99</v>
      </c>
      <c r="B39">
        <v>0.01</v>
      </c>
      <c r="C39" t="s">
        <v>138</v>
      </c>
    </row>
    <row r="40" spans="1:3" x14ac:dyDescent="0.25">
      <c r="A40" t="s">
        <v>100</v>
      </c>
      <c r="B40">
        <v>0.08</v>
      </c>
      <c r="C40" t="s">
        <v>139</v>
      </c>
    </row>
    <row r="41" spans="1:3" x14ac:dyDescent="0.25">
      <c r="A41" t="s">
        <v>101</v>
      </c>
      <c r="B41">
        <v>0.3</v>
      </c>
      <c r="C41" t="s">
        <v>140</v>
      </c>
    </row>
    <row r="42" spans="1:3" x14ac:dyDescent="0.25">
      <c r="A42" s="25" t="s">
        <v>102</v>
      </c>
      <c r="B42" s="26"/>
      <c r="C42" s="26"/>
    </row>
    <row r="43" spans="1:3" x14ac:dyDescent="0.25">
      <c r="A43" t="s">
        <v>103</v>
      </c>
      <c r="B43">
        <f>0.018*2</f>
        <v>3.5999999999999997E-2</v>
      </c>
      <c r="C43" t="s">
        <v>141</v>
      </c>
    </row>
    <row r="44" spans="1:3" x14ac:dyDescent="0.25">
      <c r="A44" t="s">
        <v>104</v>
      </c>
      <c r="B44">
        <v>1.2999999999999999E-2</v>
      </c>
      <c r="C44" t="s">
        <v>142</v>
      </c>
    </row>
    <row r="45" spans="1:3" x14ac:dyDescent="0.25">
      <c r="A45" t="s">
        <v>105</v>
      </c>
      <c r="B45">
        <v>0.1</v>
      </c>
      <c r="C45" t="s">
        <v>143</v>
      </c>
    </row>
    <row r="46" spans="1:3" x14ac:dyDescent="0.25">
      <c r="A46" s="25" t="s">
        <v>106</v>
      </c>
      <c r="B46" s="26"/>
      <c r="C46" s="26"/>
    </row>
    <row r="47" spans="1:3" x14ac:dyDescent="0.25">
      <c r="A47" t="s">
        <v>107</v>
      </c>
      <c r="B47">
        <v>0.2</v>
      </c>
      <c r="C47" t="s">
        <v>144</v>
      </c>
    </row>
    <row r="48" spans="1:3" x14ac:dyDescent="0.25">
      <c r="A48" t="s">
        <v>108</v>
      </c>
      <c r="B48">
        <v>0.14000000000000001</v>
      </c>
      <c r="C48" t="s">
        <v>145</v>
      </c>
    </row>
    <row r="49" spans="1:3" x14ac:dyDescent="0.25">
      <c r="A49" t="s">
        <v>109</v>
      </c>
      <c r="B49">
        <v>0.2</v>
      </c>
      <c r="C49" t="s">
        <v>146</v>
      </c>
    </row>
    <row r="50" spans="1:3" x14ac:dyDescent="0.25">
      <c r="A50" t="s">
        <v>110</v>
      </c>
      <c r="B50">
        <v>0.7</v>
      </c>
      <c r="C50" t="s">
        <v>147</v>
      </c>
    </row>
    <row r="51" spans="1:3" x14ac:dyDescent="0.25">
      <c r="A51" t="s">
        <v>111</v>
      </c>
      <c r="B51">
        <v>0.2</v>
      </c>
      <c r="C51" t="s">
        <v>148</v>
      </c>
    </row>
  </sheetData>
  <mergeCells count="14">
    <mergeCell ref="A42:C42"/>
    <mergeCell ref="A46:C46"/>
    <mergeCell ref="A17:C17"/>
    <mergeCell ref="A19:C19"/>
    <mergeCell ref="A21:C21"/>
    <mergeCell ref="A24:C24"/>
    <mergeCell ref="A30:C30"/>
    <mergeCell ref="A36:C36"/>
    <mergeCell ref="A15:C15"/>
    <mergeCell ref="A3:C3"/>
    <mergeCell ref="A5:C5"/>
    <mergeCell ref="A8:C8"/>
    <mergeCell ref="A11:C11"/>
    <mergeCell ref="A13:C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5"/>
  <sheetViews>
    <sheetView tabSelected="1" topLeftCell="A7" zoomScale="130" zoomScaleNormal="130" workbookViewId="0">
      <selection activeCell="B22" sqref="B22"/>
    </sheetView>
  </sheetViews>
  <sheetFormatPr defaultRowHeight="15" x14ac:dyDescent="0.25"/>
  <cols>
    <col min="1" max="1" width="16" customWidth="1"/>
    <col min="2" max="2" width="15.7109375" customWidth="1"/>
    <col min="3" max="3" width="122.5703125" customWidth="1"/>
  </cols>
  <sheetData>
    <row r="1" spans="1:3" x14ac:dyDescent="0.25">
      <c r="A1" s="21" t="s">
        <v>61</v>
      </c>
      <c r="B1" s="21" t="s">
        <v>52</v>
      </c>
      <c r="C1" s="21" t="s">
        <v>112</v>
      </c>
    </row>
    <row r="2" spans="1:3" x14ac:dyDescent="0.25">
      <c r="A2" t="s">
        <v>149</v>
      </c>
      <c r="B2">
        <v>0.97</v>
      </c>
      <c r="C2" t="s">
        <v>303</v>
      </c>
    </row>
    <row r="3" spans="1:3" x14ac:dyDescent="0.25">
      <c r="A3" t="s">
        <v>150</v>
      </c>
      <c r="B3">
        <v>0.05</v>
      </c>
      <c r="C3" t="s">
        <v>304</v>
      </c>
    </row>
    <row r="4" spans="1:3" x14ac:dyDescent="0.25">
      <c r="A4" t="s">
        <v>151</v>
      </c>
      <c r="B4" s="22">
        <v>0.1</v>
      </c>
      <c r="C4" t="s">
        <v>305</v>
      </c>
    </row>
    <row r="5" spans="1:3" x14ac:dyDescent="0.25">
      <c r="A5" t="s">
        <v>152</v>
      </c>
      <c r="B5" s="22">
        <v>0.1</v>
      </c>
      <c r="C5" t="s">
        <v>306</v>
      </c>
    </row>
    <row r="6" spans="1:3" x14ac:dyDescent="0.25">
      <c r="A6" t="s">
        <v>153</v>
      </c>
      <c r="B6">
        <v>1</v>
      </c>
      <c r="C6" t="s">
        <v>307</v>
      </c>
    </row>
    <row r="7" spans="1:3" x14ac:dyDescent="0.25">
      <c r="A7" t="s">
        <v>154</v>
      </c>
      <c r="B7">
        <v>1</v>
      </c>
      <c r="C7" t="s">
        <v>308</v>
      </c>
    </row>
    <row r="8" spans="1:3" x14ac:dyDescent="0.25">
      <c r="A8" t="s">
        <v>155</v>
      </c>
      <c r="B8">
        <v>0.6</v>
      </c>
      <c r="C8" t="s">
        <v>309</v>
      </c>
    </row>
    <row r="9" spans="1:3" x14ac:dyDescent="0.25">
      <c r="A9" t="s">
        <v>156</v>
      </c>
      <c r="B9">
        <v>0.6</v>
      </c>
      <c r="C9" t="s">
        <v>310</v>
      </c>
    </row>
    <row r="10" spans="1:3" x14ac:dyDescent="0.25">
      <c r="A10" t="s">
        <v>157</v>
      </c>
      <c r="B10" s="23">
        <v>0.6</v>
      </c>
      <c r="C10" t="s">
        <v>311</v>
      </c>
    </row>
    <row r="11" spans="1:3" x14ac:dyDescent="0.25">
      <c r="A11" t="s">
        <v>158</v>
      </c>
      <c r="B11">
        <v>7.0000000000000007E-2</v>
      </c>
      <c r="C11" t="s">
        <v>312</v>
      </c>
    </row>
    <row r="12" spans="1:3" x14ac:dyDescent="0.25">
      <c r="A12" t="s">
        <v>159</v>
      </c>
      <c r="B12">
        <v>0</v>
      </c>
      <c r="C12" t="s">
        <v>313</v>
      </c>
    </row>
    <row r="13" spans="1:3" x14ac:dyDescent="0.25">
      <c r="A13" s="25" t="s">
        <v>160</v>
      </c>
      <c r="B13" s="26"/>
      <c r="C13" s="26"/>
    </row>
    <row r="14" spans="1:3" x14ac:dyDescent="0.25">
      <c r="A14" t="s">
        <v>161</v>
      </c>
      <c r="B14">
        <v>0</v>
      </c>
      <c r="C14" t="s">
        <v>314</v>
      </c>
    </row>
    <row r="15" spans="1:3" x14ac:dyDescent="0.25">
      <c r="A15" t="s">
        <v>162</v>
      </c>
      <c r="B15">
        <v>0</v>
      </c>
      <c r="C15" t="s">
        <v>315</v>
      </c>
    </row>
    <row r="16" spans="1:3" x14ac:dyDescent="0.25">
      <c r="A16" t="s">
        <v>163</v>
      </c>
      <c r="B16">
        <v>0</v>
      </c>
      <c r="C16" t="s">
        <v>316</v>
      </c>
    </row>
    <row r="17" spans="1:3" x14ac:dyDescent="0.25">
      <c r="A17" t="s">
        <v>164</v>
      </c>
      <c r="B17">
        <v>0</v>
      </c>
      <c r="C17" t="s">
        <v>317</v>
      </c>
    </row>
    <row r="18" spans="1:3" x14ac:dyDescent="0.25">
      <c r="A18" t="s">
        <v>165</v>
      </c>
      <c r="B18">
        <v>0</v>
      </c>
      <c r="C18" t="s">
        <v>318</v>
      </c>
    </row>
    <row r="19" spans="1:3" x14ac:dyDescent="0.25">
      <c r="A19" s="25" t="s">
        <v>166</v>
      </c>
      <c r="B19" s="26"/>
      <c r="C19" s="26"/>
    </row>
    <row r="20" spans="1:3" x14ac:dyDescent="0.25">
      <c r="A20" t="s">
        <v>167</v>
      </c>
      <c r="B20">
        <v>1</v>
      </c>
      <c r="C20" t="s">
        <v>319</v>
      </c>
    </row>
    <row r="21" spans="1:3" x14ac:dyDescent="0.25">
      <c r="A21" t="s">
        <v>168</v>
      </c>
      <c r="B21">
        <v>5</v>
      </c>
      <c r="C21" t="s">
        <v>320</v>
      </c>
    </row>
    <row r="22" spans="1:3" x14ac:dyDescent="0.25">
      <c r="A22" t="s">
        <v>169</v>
      </c>
      <c r="B22">
        <v>1</v>
      </c>
      <c r="C22" t="s">
        <v>321</v>
      </c>
    </row>
    <row r="23" spans="1:3" x14ac:dyDescent="0.25">
      <c r="A23" t="s">
        <v>170</v>
      </c>
      <c r="B23">
        <v>1</v>
      </c>
      <c r="C23" t="s">
        <v>322</v>
      </c>
    </row>
    <row r="24" spans="1:3" x14ac:dyDescent="0.25">
      <c r="A24" s="25" t="s">
        <v>171</v>
      </c>
      <c r="B24" s="26"/>
      <c r="C24" s="26"/>
    </row>
    <row r="25" spans="1:3" x14ac:dyDescent="0.25">
      <c r="A25" t="s">
        <v>172</v>
      </c>
      <c r="B25">
        <v>2</v>
      </c>
      <c r="C25" t="s">
        <v>323</v>
      </c>
    </row>
    <row r="26" spans="1:3" x14ac:dyDescent="0.25">
      <c r="A26" t="s">
        <v>173</v>
      </c>
      <c r="B26">
        <v>2</v>
      </c>
      <c r="C26" t="s">
        <v>324</v>
      </c>
    </row>
    <row r="27" spans="1:3" x14ac:dyDescent="0.25">
      <c r="A27" t="s">
        <v>174</v>
      </c>
      <c r="B27">
        <v>2</v>
      </c>
      <c r="C27" t="s">
        <v>325</v>
      </c>
    </row>
    <row r="28" spans="1:3" x14ac:dyDescent="0.25">
      <c r="A28" t="s">
        <v>175</v>
      </c>
      <c r="B28">
        <v>2</v>
      </c>
      <c r="C28" t="s">
        <v>326</v>
      </c>
    </row>
    <row r="29" spans="1:3" x14ac:dyDescent="0.25">
      <c r="A29" t="s">
        <v>176</v>
      </c>
      <c r="B29">
        <v>2</v>
      </c>
      <c r="C29" t="s">
        <v>327</v>
      </c>
    </row>
    <row r="30" spans="1:3" x14ac:dyDescent="0.25">
      <c r="A30" s="25" t="s">
        <v>177</v>
      </c>
      <c r="B30" s="26"/>
      <c r="C30" s="26"/>
    </row>
    <row r="31" spans="1:3" x14ac:dyDescent="0.25">
      <c r="A31" t="s">
        <v>178</v>
      </c>
      <c r="B31">
        <v>5.0541697935392399E-2</v>
      </c>
      <c r="C31" t="s">
        <v>328</v>
      </c>
    </row>
    <row r="32" spans="1:3" x14ac:dyDescent="0.25">
      <c r="A32" t="s">
        <v>179</v>
      </c>
      <c r="B32">
        <v>1.8970945624203799E-2</v>
      </c>
      <c r="C32" t="s">
        <v>329</v>
      </c>
    </row>
    <row r="33" spans="1:3" x14ac:dyDescent="0.25">
      <c r="A33" t="s">
        <v>180</v>
      </c>
      <c r="B33">
        <v>2.6778385442998501E-3</v>
      </c>
      <c r="C33" t="s">
        <v>330</v>
      </c>
    </row>
    <row r="34" spans="1:3" x14ac:dyDescent="0.25">
      <c r="A34" t="s">
        <v>181</v>
      </c>
      <c r="B34">
        <v>0.47721581952771702</v>
      </c>
      <c r="C34" t="s">
        <v>331</v>
      </c>
    </row>
    <row r="35" spans="1:3" x14ac:dyDescent="0.25">
      <c r="A35" t="s">
        <v>182</v>
      </c>
      <c r="B35">
        <v>0.108108639842636</v>
      </c>
      <c r="C35" t="s">
        <v>332</v>
      </c>
    </row>
    <row r="36" spans="1:3" x14ac:dyDescent="0.25">
      <c r="A36" s="25" t="s">
        <v>183</v>
      </c>
      <c r="B36" s="26"/>
      <c r="C36" s="26"/>
    </row>
    <row r="37" spans="1:3" x14ac:dyDescent="0.25">
      <c r="A37" t="s">
        <v>184</v>
      </c>
      <c r="B37">
        <v>3.5541008973436201E-3</v>
      </c>
      <c r="C37" t="s">
        <v>333</v>
      </c>
    </row>
    <row r="38" spans="1:3" x14ac:dyDescent="0.25">
      <c r="A38" t="s">
        <v>185</v>
      </c>
      <c r="B38">
        <v>1.63033360104539E-3</v>
      </c>
      <c r="C38" t="s">
        <v>334</v>
      </c>
    </row>
    <row r="39" spans="1:3" x14ac:dyDescent="0.25">
      <c r="A39" t="s">
        <v>186</v>
      </c>
      <c r="B39">
        <v>1E-3</v>
      </c>
      <c r="C39" t="s">
        <v>335</v>
      </c>
    </row>
    <row r="40" spans="1:3" x14ac:dyDescent="0.25">
      <c r="A40" t="s">
        <v>187</v>
      </c>
      <c r="B40">
        <v>3.8262887217700499E-2</v>
      </c>
      <c r="C40" t="s">
        <v>336</v>
      </c>
    </row>
    <row r="41" spans="1:3" x14ac:dyDescent="0.25">
      <c r="A41" t="s">
        <v>188</v>
      </c>
      <c r="B41">
        <v>3.1851583840066199E-3</v>
      </c>
      <c r="C41" t="s">
        <v>337</v>
      </c>
    </row>
    <row r="42" spans="1:3" x14ac:dyDescent="0.25">
      <c r="A42" s="25" t="s">
        <v>189</v>
      </c>
      <c r="B42" s="26"/>
      <c r="C42" s="26"/>
    </row>
    <row r="43" spans="1:3" x14ac:dyDescent="0.25">
      <c r="A43" t="s">
        <v>190</v>
      </c>
      <c r="B43">
        <v>2.1345398939753801E-2</v>
      </c>
      <c r="C43" t="s">
        <v>338</v>
      </c>
    </row>
    <row r="44" spans="1:3" x14ac:dyDescent="0.25">
      <c r="A44" t="s">
        <v>191</v>
      </c>
      <c r="B44">
        <v>1.9046009569366001E-2</v>
      </c>
      <c r="C44" t="s">
        <v>339</v>
      </c>
    </row>
    <row r="45" spans="1:3" x14ac:dyDescent="0.25">
      <c r="A45" t="s">
        <v>192</v>
      </c>
      <c r="B45">
        <v>3.5363100675160202E-4</v>
      </c>
      <c r="C45" t="s">
        <v>340</v>
      </c>
    </row>
    <row r="46" spans="1:3" x14ac:dyDescent="0.25">
      <c r="A46" t="s">
        <v>193</v>
      </c>
      <c r="B46">
        <v>0.181111309312077</v>
      </c>
      <c r="C46" t="s">
        <v>341</v>
      </c>
    </row>
    <row r="47" spans="1:3" x14ac:dyDescent="0.25">
      <c r="A47" t="s">
        <v>194</v>
      </c>
      <c r="B47">
        <v>2.5526241462421599E-2</v>
      </c>
      <c r="C47" t="s">
        <v>342</v>
      </c>
    </row>
    <row r="48" spans="1:3" x14ac:dyDescent="0.25">
      <c r="A48" s="25" t="s">
        <v>195</v>
      </c>
      <c r="B48" s="26"/>
      <c r="C48" s="26"/>
    </row>
    <row r="49" spans="1:3" x14ac:dyDescent="0.25">
      <c r="A49" t="s">
        <v>196</v>
      </c>
      <c r="B49">
        <v>6.9606135777650199E-3</v>
      </c>
      <c r="C49" t="s">
        <v>343</v>
      </c>
    </row>
    <row r="50" spans="1:3" x14ac:dyDescent="0.25">
      <c r="A50" t="s">
        <v>197</v>
      </c>
      <c r="B50">
        <v>4.0000000000000001E-3</v>
      </c>
      <c r="C50" t="s">
        <v>344</v>
      </c>
    </row>
    <row r="51" spans="1:3" x14ac:dyDescent="0.25">
      <c r="A51" t="s">
        <v>198</v>
      </c>
      <c r="B51">
        <v>1E-4</v>
      </c>
      <c r="C51" t="s">
        <v>345</v>
      </c>
    </row>
    <row r="52" spans="1:3" x14ac:dyDescent="0.25">
      <c r="A52" t="s">
        <v>199</v>
      </c>
      <c r="B52">
        <v>0.26208945244385901</v>
      </c>
      <c r="C52" t="s">
        <v>346</v>
      </c>
    </row>
    <row r="53" spans="1:3" x14ac:dyDescent="0.25">
      <c r="A53" t="s">
        <v>200</v>
      </c>
      <c r="B53">
        <v>3.36508607041189E-2</v>
      </c>
      <c r="C53" t="s">
        <v>347</v>
      </c>
    </row>
    <row r="54" spans="1:3" x14ac:dyDescent="0.25">
      <c r="A54" s="25" t="s">
        <v>201</v>
      </c>
      <c r="B54" s="26"/>
      <c r="C54" s="26"/>
    </row>
    <row r="55" spans="1:3" x14ac:dyDescent="0.25">
      <c r="A55" t="s">
        <v>202</v>
      </c>
      <c r="B55">
        <v>1</v>
      </c>
      <c r="C55" t="s">
        <v>348</v>
      </c>
    </row>
    <row r="56" spans="1:3" x14ac:dyDescent="0.25">
      <c r="A56" t="s">
        <v>203</v>
      </c>
      <c r="B56">
        <v>1</v>
      </c>
      <c r="C56" t="s">
        <v>349</v>
      </c>
    </row>
    <row r="57" spans="1:3" x14ac:dyDescent="0.25">
      <c r="A57" t="s">
        <v>204</v>
      </c>
      <c r="B57">
        <v>1</v>
      </c>
      <c r="C57" t="s">
        <v>350</v>
      </c>
    </row>
    <row r="58" spans="1:3" x14ac:dyDescent="0.25">
      <c r="A58" t="s">
        <v>205</v>
      </c>
      <c r="B58">
        <v>1</v>
      </c>
      <c r="C58" t="s">
        <v>351</v>
      </c>
    </row>
    <row r="59" spans="1:3" x14ac:dyDescent="0.25">
      <c r="A59" t="s">
        <v>206</v>
      </c>
      <c r="B59">
        <v>1</v>
      </c>
      <c r="C59" t="s">
        <v>352</v>
      </c>
    </row>
    <row r="60" spans="1:3" x14ac:dyDescent="0.25">
      <c r="A60" s="25" t="s">
        <v>207</v>
      </c>
      <c r="B60" s="26"/>
      <c r="C60" s="26"/>
    </row>
    <row r="61" spans="1:3" x14ac:dyDescent="0.25">
      <c r="A61" t="s">
        <v>208</v>
      </c>
      <c r="B61">
        <v>0.1</v>
      </c>
      <c r="C61" t="s">
        <v>353</v>
      </c>
    </row>
    <row r="62" spans="1:3" x14ac:dyDescent="0.25">
      <c r="A62" t="s">
        <v>209</v>
      </c>
      <c r="B62">
        <v>0.1</v>
      </c>
      <c r="C62" t="s">
        <v>354</v>
      </c>
    </row>
    <row r="63" spans="1:3" x14ac:dyDescent="0.25">
      <c r="A63" t="s">
        <v>210</v>
      </c>
      <c r="B63">
        <v>0.1</v>
      </c>
      <c r="C63" t="s">
        <v>355</v>
      </c>
    </row>
    <row r="64" spans="1:3" x14ac:dyDescent="0.25">
      <c r="A64" t="s">
        <v>211</v>
      </c>
      <c r="B64">
        <v>0.1</v>
      </c>
      <c r="C64" t="s">
        <v>356</v>
      </c>
    </row>
    <row r="65" spans="1:3" x14ac:dyDescent="0.25">
      <c r="A65" t="s">
        <v>212</v>
      </c>
      <c r="B65">
        <v>0.1</v>
      </c>
      <c r="C65" t="s">
        <v>357</v>
      </c>
    </row>
    <row r="66" spans="1:3" x14ac:dyDescent="0.25">
      <c r="A66" s="25" t="s">
        <v>213</v>
      </c>
      <c r="B66" s="26"/>
      <c r="C66" s="26"/>
    </row>
    <row r="67" spans="1:3" x14ac:dyDescent="0.25">
      <c r="A67" t="s">
        <v>214</v>
      </c>
      <c r="B67">
        <v>3.9525934010030003E-2</v>
      </c>
      <c r="C67" t="s">
        <v>358</v>
      </c>
    </row>
    <row r="68" spans="1:3" x14ac:dyDescent="0.25">
      <c r="A68" t="s">
        <v>215</v>
      </c>
      <c r="B68">
        <v>6.2225054861662198E-3</v>
      </c>
      <c r="C68" t="s">
        <v>359</v>
      </c>
    </row>
    <row r="69" spans="1:3" x14ac:dyDescent="0.25">
      <c r="A69" t="s">
        <v>216</v>
      </c>
      <c r="B69">
        <v>7.2204021226881599E-4</v>
      </c>
      <c r="C69" t="s">
        <v>360</v>
      </c>
    </row>
    <row r="70" spans="1:3" x14ac:dyDescent="0.25">
      <c r="A70" t="s">
        <v>217</v>
      </c>
      <c r="B70">
        <v>7.6328942267527095E-2</v>
      </c>
      <c r="C70" t="s">
        <v>361</v>
      </c>
    </row>
    <row r="71" spans="1:3" x14ac:dyDescent="0.25">
      <c r="A71" t="s">
        <v>218</v>
      </c>
      <c r="B71">
        <v>9.17596344321297E-2</v>
      </c>
      <c r="C71" t="s">
        <v>362</v>
      </c>
    </row>
    <row r="72" spans="1:3" x14ac:dyDescent="0.25">
      <c r="A72" s="25" t="s">
        <v>219</v>
      </c>
      <c r="B72" s="26"/>
      <c r="C72" s="26"/>
    </row>
    <row r="73" spans="1:3" x14ac:dyDescent="0.25">
      <c r="A73" t="s">
        <v>220</v>
      </c>
      <c r="B73">
        <v>1</v>
      </c>
      <c r="C73" t="s">
        <v>363</v>
      </c>
    </row>
    <row r="74" spans="1:3" x14ac:dyDescent="0.25">
      <c r="A74" t="s">
        <v>221</v>
      </c>
      <c r="B74">
        <v>1</v>
      </c>
      <c r="C74" t="s">
        <v>364</v>
      </c>
    </row>
    <row r="75" spans="1:3" x14ac:dyDescent="0.25">
      <c r="A75" t="s">
        <v>222</v>
      </c>
      <c r="B75">
        <v>1</v>
      </c>
      <c r="C75" t="s">
        <v>365</v>
      </c>
    </row>
    <row r="76" spans="1:3" x14ac:dyDescent="0.25">
      <c r="A76" t="s">
        <v>223</v>
      </c>
      <c r="B76">
        <v>1</v>
      </c>
      <c r="C76" t="s">
        <v>366</v>
      </c>
    </row>
    <row r="77" spans="1:3" x14ac:dyDescent="0.25">
      <c r="A77" t="s">
        <v>224</v>
      </c>
      <c r="B77">
        <v>1</v>
      </c>
      <c r="C77" t="s">
        <v>367</v>
      </c>
    </row>
    <row r="78" spans="1:3" x14ac:dyDescent="0.25">
      <c r="A78" s="25" t="s">
        <v>225</v>
      </c>
      <c r="B78" s="26"/>
      <c r="C78" s="26"/>
    </row>
    <row r="79" spans="1:3" x14ac:dyDescent="0.25">
      <c r="A79" t="s">
        <v>226</v>
      </c>
      <c r="B79">
        <v>0</v>
      </c>
      <c r="C79" t="s">
        <v>368</v>
      </c>
    </row>
    <row r="80" spans="1:3" x14ac:dyDescent="0.25">
      <c r="A80" t="s">
        <v>227</v>
      </c>
      <c r="B80">
        <v>0</v>
      </c>
      <c r="C80" t="s">
        <v>369</v>
      </c>
    </row>
    <row r="81" spans="1:3" x14ac:dyDescent="0.25">
      <c r="A81" t="s">
        <v>228</v>
      </c>
      <c r="B81">
        <v>0</v>
      </c>
      <c r="C81" t="s">
        <v>370</v>
      </c>
    </row>
    <row r="82" spans="1:3" x14ac:dyDescent="0.25">
      <c r="A82" t="s">
        <v>229</v>
      </c>
      <c r="B82">
        <v>0</v>
      </c>
      <c r="C82" t="s">
        <v>371</v>
      </c>
    </row>
    <row r="83" spans="1:3" x14ac:dyDescent="0.25">
      <c r="A83" t="s">
        <v>230</v>
      </c>
      <c r="B83">
        <v>0</v>
      </c>
      <c r="C83" t="s">
        <v>372</v>
      </c>
    </row>
    <row r="84" spans="1:3" x14ac:dyDescent="0.25">
      <c r="A84" s="25" t="s">
        <v>231</v>
      </c>
      <c r="B84" s="26"/>
      <c r="C84" s="26"/>
    </row>
    <row r="85" spans="1:3" x14ac:dyDescent="0.25">
      <c r="A85" t="s">
        <v>232</v>
      </c>
      <c r="B85">
        <v>0</v>
      </c>
      <c r="C85" t="s">
        <v>373</v>
      </c>
    </row>
    <row r="86" spans="1:3" x14ac:dyDescent="0.25">
      <c r="A86" t="s">
        <v>233</v>
      </c>
      <c r="B86">
        <v>0</v>
      </c>
      <c r="C86" t="s">
        <v>374</v>
      </c>
    </row>
    <row r="87" spans="1:3" x14ac:dyDescent="0.25">
      <c r="A87" t="s">
        <v>234</v>
      </c>
      <c r="B87">
        <v>0</v>
      </c>
      <c r="C87" t="s">
        <v>375</v>
      </c>
    </row>
    <row r="88" spans="1:3" x14ac:dyDescent="0.25">
      <c r="A88" t="s">
        <v>235</v>
      </c>
      <c r="B88">
        <v>0</v>
      </c>
      <c r="C88" t="s">
        <v>376</v>
      </c>
    </row>
    <row r="89" spans="1:3" x14ac:dyDescent="0.25">
      <c r="A89" t="s">
        <v>236</v>
      </c>
      <c r="B89">
        <v>0</v>
      </c>
      <c r="C89" t="s">
        <v>377</v>
      </c>
    </row>
    <row r="90" spans="1:3" x14ac:dyDescent="0.25">
      <c r="A90" s="25" t="s">
        <v>237</v>
      </c>
      <c r="B90" s="26"/>
      <c r="C90" s="26"/>
    </row>
    <row r="91" spans="1:3" x14ac:dyDescent="0.25">
      <c r="A91" t="s">
        <v>238</v>
      </c>
      <c r="B91">
        <v>0</v>
      </c>
      <c r="C91" t="s">
        <v>378</v>
      </c>
    </row>
    <row r="92" spans="1:3" x14ac:dyDescent="0.25">
      <c r="A92" t="s">
        <v>239</v>
      </c>
      <c r="B92">
        <v>1</v>
      </c>
      <c r="C92" t="s">
        <v>379</v>
      </c>
    </row>
    <row r="93" spans="1:3" x14ac:dyDescent="0.25">
      <c r="A93" t="s">
        <v>240</v>
      </c>
      <c r="B93">
        <v>0</v>
      </c>
      <c r="C93" t="s">
        <v>380</v>
      </c>
    </row>
    <row r="94" spans="1:3" x14ac:dyDescent="0.25">
      <c r="A94" t="s">
        <v>241</v>
      </c>
      <c r="B94">
        <v>0</v>
      </c>
      <c r="C94" t="s">
        <v>381</v>
      </c>
    </row>
    <row r="95" spans="1:3" x14ac:dyDescent="0.25">
      <c r="A95" t="s">
        <v>242</v>
      </c>
      <c r="B95">
        <v>0</v>
      </c>
      <c r="C95" t="s">
        <v>382</v>
      </c>
    </row>
    <row r="96" spans="1:3" x14ac:dyDescent="0.25">
      <c r="A96" s="25" t="s">
        <v>243</v>
      </c>
      <c r="B96" s="26"/>
      <c r="C96" s="26"/>
    </row>
    <row r="97" spans="1:3" x14ac:dyDescent="0.25">
      <c r="A97" t="s">
        <v>244</v>
      </c>
      <c r="B97">
        <v>1</v>
      </c>
      <c r="C97" t="s">
        <v>383</v>
      </c>
    </row>
    <row r="98" spans="1:3" x14ac:dyDescent="0.25">
      <c r="A98" t="s">
        <v>245</v>
      </c>
      <c r="B98">
        <v>0</v>
      </c>
      <c r="C98" t="s">
        <v>384</v>
      </c>
    </row>
    <row r="99" spans="1:3" x14ac:dyDescent="0.25">
      <c r="A99" t="s">
        <v>246</v>
      </c>
      <c r="B99">
        <v>0</v>
      </c>
      <c r="C99" t="s">
        <v>385</v>
      </c>
    </row>
    <row r="100" spans="1:3" x14ac:dyDescent="0.25">
      <c r="A100" t="s">
        <v>247</v>
      </c>
      <c r="B100">
        <v>0</v>
      </c>
      <c r="C100" t="s">
        <v>386</v>
      </c>
    </row>
    <row r="101" spans="1:3" x14ac:dyDescent="0.25">
      <c r="A101" t="s">
        <v>248</v>
      </c>
      <c r="B101">
        <v>0</v>
      </c>
      <c r="C101" t="s">
        <v>387</v>
      </c>
    </row>
    <row r="102" spans="1:3" x14ac:dyDescent="0.25">
      <c r="A102" s="25" t="s">
        <v>249</v>
      </c>
      <c r="B102" s="26"/>
      <c r="C102" s="26"/>
    </row>
    <row r="103" spans="1:3" x14ac:dyDescent="0.25">
      <c r="A103" t="s">
        <v>250</v>
      </c>
      <c r="B103">
        <v>1.44222269304676E-2</v>
      </c>
      <c r="C103" t="s">
        <v>388</v>
      </c>
    </row>
    <row r="104" spans="1:3" x14ac:dyDescent="0.25">
      <c r="A104" t="s">
        <v>251</v>
      </c>
      <c r="B104">
        <v>4.0981972394379404E-3</v>
      </c>
      <c r="C104" t="s">
        <v>389</v>
      </c>
    </row>
    <row r="105" spans="1:3" x14ac:dyDescent="0.25">
      <c r="A105" t="s">
        <v>252</v>
      </c>
      <c r="B105">
        <v>2.7046072302106101E-2</v>
      </c>
      <c r="C105" t="s">
        <v>390</v>
      </c>
    </row>
    <row r="106" spans="1:3" x14ac:dyDescent="0.25">
      <c r="A106" t="s">
        <v>253</v>
      </c>
      <c r="B106">
        <v>4.9752014633807299E-3</v>
      </c>
      <c r="C106" t="s">
        <v>391</v>
      </c>
    </row>
    <row r="107" spans="1:3" x14ac:dyDescent="0.25">
      <c r="A107" t="s">
        <v>254</v>
      </c>
      <c r="B107">
        <v>6.4131046250132996E-4</v>
      </c>
      <c r="C107" t="s">
        <v>392</v>
      </c>
    </row>
    <row r="108" spans="1:3" x14ac:dyDescent="0.25">
      <c r="A108" t="s">
        <v>255</v>
      </c>
      <c r="B108">
        <v>1.22443712761253E-2</v>
      </c>
      <c r="C108" t="s">
        <v>393</v>
      </c>
    </row>
    <row r="109" spans="1:3" x14ac:dyDescent="0.25">
      <c r="A109" t="s">
        <v>256</v>
      </c>
      <c r="B109">
        <v>3.4208064696140401E-3</v>
      </c>
      <c r="C109" t="s">
        <v>394</v>
      </c>
    </row>
    <row r="110" spans="1:3" x14ac:dyDescent="0.25">
      <c r="A110" t="s">
        <v>257</v>
      </c>
      <c r="B110">
        <v>2.6644574159631301E-3</v>
      </c>
      <c r="C110" t="s">
        <v>395</v>
      </c>
    </row>
    <row r="111" spans="1:3" x14ac:dyDescent="0.25">
      <c r="A111" t="s">
        <v>258</v>
      </c>
      <c r="B111">
        <v>1.280984048025E-4</v>
      </c>
      <c r="C111" t="s">
        <v>396</v>
      </c>
    </row>
    <row r="112" spans="1:3" x14ac:dyDescent="0.25">
      <c r="A112" t="s">
        <v>259</v>
      </c>
      <c r="B112">
        <v>1.7209486019506E-3</v>
      </c>
      <c r="C112" t="s">
        <v>397</v>
      </c>
    </row>
    <row r="113" spans="1:3" x14ac:dyDescent="0.25">
      <c r="A113" t="s">
        <v>260</v>
      </c>
      <c r="B113">
        <v>5.5382681947262701E-4</v>
      </c>
      <c r="C113" t="s">
        <v>398</v>
      </c>
    </row>
    <row r="114" spans="1:3" x14ac:dyDescent="0.25">
      <c r="A114" t="s">
        <v>261</v>
      </c>
      <c r="B114">
        <v>3.90253282396369E-4</v>
      </c>
      <c r="C114" t="s">
        <v>399</v>
      </c>
    </row>
    <row r="115" spans="1:3" x14ac:dyDescent="0.25">
      <c r="A115" t="s">
        <v>262</v>
      </c>
      <c r="B115">
        <v>6.8289060727302606E-2</v>
      </c>
      <c r="C115" t="s">
        <v>400</v>
      </c>
    </row>
    <row r="116" spans="1:3" x14ac:dyDescent="0.25">
      <c r="A116" t="s">
        <v>263</v>
      </c>
      <c r="B116">
        <v>2.4087550126933002E-2</v>
      </c>
      <c r="C116" t="s">
        <v>401</v>
      </c>
    </row>
    <row r="117" spans="1:3" x14ac:dyDescent="0.25">
      <c r="A117" t="s">
        <v>264</v>
      </c>
      <c r="B117">
        <v>0.33230489238954602</v>
      </c>
      <c r="C117" t="s">
        <v>402</v>
      </c>
    </row>
    <row r="118" spans="1:3" x14ac:dyDescent="0.25">
      <c r="A118" t="s">
        <v>265</v>
      </c>
      <c r="B118">
        <v>5.2534316283934797E-2</v>
      </c>
      <c r="C118" t="s">
        <v>403</v>
      </c>
    </row>
    <row r="119" spans="1:3" x14ac:dyDescent="0.25">
      <c r="A119" t="s">
        <v>266</v>
      </c>
      <c r="B119">
        <v>5.8979093180919996E-3</v>
      </c>
      <c r="C119" t="s">
        <v>404</v>
      </c>
    </row>
    <row r="120" spans="1:3" x14ac:dyDescent="0.25">
      <c r="A120" t="s">
        <v>267</v>
      </c>
      <c r="B120">
        <v>1.43778014233074E-2</v>
      </c>
      <c r="C120" t="s">
        <v>405</v>
      </c>
    </row>
    <row r="121" spans="1:3" x14ac:dyDescent="0.25">
      <c r="A121" t="s">
        <v>268</v>
      </c>
      <c r="B121">
        <v>3.7154401221751503E-2</v>
      </c>
      <c r="C121" t="s">
        <v>406</v>
      </c>
    </row>
    <row r="122" spans="1:3" x14ac:dyDescent="0.25">
      <c r="A122" t="s">
        <v>269</v>
      </c>
      <c r="B122">
        <v>5.0678527879484798E-2</v>
      </c>
      <c r="C122" t="s">
        <v>407</v>
      </c>
    </row>
    <row r="123" spans="1:3" x14ac:dyDescent="0.25">
      <c r="A123" s="25" t="s">
        <v>270</v>
      </c>
      <c r="B123" s="26"/>
      <c r="C123" s="26"/>
    </row>
    <row r="124" spans="1:3" x14ac:dyDescent="0.25">
      <c r="A124" t="s">
        <v>271</v>
      </c>
      <c r="B124">
        <v>0</v>
      </c>
      <c r="C124" t="s">
        <v>408</v>
      </c>
    </row>
    <row r="125" spans="1:3" x14ac:dyDescent="0.25">
      <c r="A125" t="s">
        <v>272</v>
      </c>
      <c r="B125">
        <v>0</v>
      </c>
      <c r="C125" t="s">
        <v>409</v>
      </c>
    </row>
    <row r="126" spans="1:3" x14ac:dyDescent="0.25">
      <c r="A126" t="s">
        <v>273</v>
      </c>
      <c r="B126">
        <v>0</v>
      </c>
      <c r="C126" t="s">
        <v>410</v>
      </c>
    </row>
    <row r="127" spans="1:3" x14ac:dyDescent="0.25">
      <c r="A127" t="s">
        <v>274</v>
      </c>
      <c r="B127">
        <v>0</v>
      </c>
      <c r="C127" t="s">
        <v>411</v>
      </c>
    </row>
    <row r="128" spans="1:3" x14ac:dyDescent="0.25">
      <c r="A128" t="s">
        <v>275</v>
      </c>
      <c r="B128">
        <v>0</v>
      </c>
      <c r="C128" t="s">
        <v>412</v>
      </c>
    </row>
    <row r="129" spans="1:3" x14ac:dyDescent="0.25">
      <c r="A129" t="s">
        <v>276</v>
      </c>
      <c r="B129">
        <v>0</v>
      </c>
      <c r="C129" t="s">
        <v>413</v>
      </c>
    </row>
    <row r="130" spans="1:3" x14ac:dyDescent="0.25">
      <c r="A130" t="s">
        <v>277</v>
      </c>
      <c r="B130">
        <v>0</v>
      </c>
      <c r="C130" t="s">
        <v>414</v>
      </c>
    </row>
    <row r="131" spans="1:3" x14ac:dyDescent="0.25">
      <c r="A131" t="s">
        <v>278</v>
      </c>
      <c r="B131">
        <v>0</v>
      </c>
      <c r="C131" t="s">
        <v>415</v>
      </c>
    </row>
    <row r="132" spans="1:3" x14ac:dyDescent="0.25">
      <c r="A132" t="s">
        <v>279</v>
      </c>
      <c r="B132">
        <v>0</v>
      </c>
      <c r="C132" t="s">
        <v>416</v>
      </c>
    </row>
    <row r="133" spans="1:3" x14ac:dyDescent="0.25">
      <c r="A133" t="s">
        <v>280</v>
      </c>
      <c r="B133">
        <v>0</v>
      </c>
      <c r="C133" t="s">
        <v>417</v>
      </c>
    </row>
    <row r="134" spans="1:3" x14ac:dyDescent="0.25">
      <c r="A134" t="s">
        <v>281</v>
      </c>
      <c r="B134">
        <v>0</v>
      </c>
      <c r="C134" t="s">
        <v>418</v>
      </c>
    </row>
    <row r="135" spans="1:3" x14ac:dyDescent="0.25">
      <c r="A135" t="s">
        <v>282</v>
      </c>
      <c r="B135">
        <v>0</v>
      </c>
      <c r="C135" t="s">
        <v>419</v>
      </c>
    </row>
    <row r="136" spans="1:3" x14ac:dyDescent="0.25">
      <c r="A136" t="s">
        <v>283</v>
      </c>
      <c r="B136">
        <v>0</v>
      </c>
      <c r="C136" t="s">
        <v>420</v>
      </c>
    </row>
    <row r="137" spans="1:3" x14ac:dyDescent="0.25">
      <c r="A137" t="s">
        <v>284</v>
      </c>
      <c r="B137">
        <v>0</v>
      </c>
      <c r="C137" t="s">
        <v>421</v>
      </c>
    </row>
    <row r="138" spans="1:3" x14ac:dyDescent="0.25">
      <c r="A138" t="s">
        <v>285</v>
      </c>
      <c r="B138">
        <v>0</v>
      </c>
      <c r="C138" t="s">
        <v>422</v>
      </c>
    </row>
    <row r="139" spans="1:3" x14ac:dyDescent="0.25">
      <c r="A139" t="s">
        <v>286</v>
      </c>
      <c r="B139">
        <v>0</v>
      </c>
      <c r="C139" t="s">
        <v>423</v>
      </c>
    </row>
    <row r="140" spans="1:3" x14ac:dyDescent="0.25">
      <c r="A140" t="s">
        <v>287</v>
      </c>
      <c r="B140">
        <v>0</v>
      </c>
      <c r="C140" t="s">
        <v>424</v>
      </c>
    </row>
    <row r="141" spans="1:3" x14ac:dyDescent="0.25">
      <c r="A141" t="s">
        <v>288</v>
      </c>
      <c r="B141">
        <v>0</v>
      </c>
      <c r="C141" t="s">
        <v>425</v>
      </c>
    </row>
    <row r="142" spans="1:3" x14ac:dyDescent="0.25">
      <c r="A142" t="s">
        <v>289</v>
      </c>
      <c r="B142">
        <v>0</v>
      </c>
      <c r="C142" t="s">
        <v>426</v>
      </c>
    </row>
    <row r="143" spans="1:3" x14ac:dyDescent="0.25">
      <c r="A143" t="s">
        <v>290</v>
      </c>
      <c r="B143">
        <v>0</v>
      </c>
      <c r="C143" t="s">
        <v>427</v>
      </c>
    </row>
    <row r="144" spans="1:3" x14ac:dyDescent="0.25">
      <c r="A144" s="25" t="s">
        <v>291</v>
      </c>
      <c r="B144" s="26"/>
      <c r="C144" s="26"/>
    </row>
    <row r="145" spans="1:3" x14ac:dyDescent="0.25">
      <c r="A145" t="s">
        <v>292</v>
      </c>
      <c r="B145">
        <v>1</v>
      </c>
      <c r="C145" t="s">
        <v>428</v>
      </c>
    </row>
    <row r="146" spans="1:3" x14ac:dyDescent="0.25">
      <c r="A146" t="s">
        <v>293</v>
      </c>
      <c r="B146">
        <v>1</v>
      </c>
      <c r="C146" t="s">
        <v>429</v>
      </c>
    </row>
    <row r="147" spans="1:3" x14ac:dyDescent="0.25">
      <c r="A147" t="s">
        <v>294</v>
      </c>
      <c r="B147">
        <v>1</v>
      </c>
      <c r="C147" t="s">
        <v>430</v>
      </c>
    </row>
    <row r="148" spans="1:3" x14ac:dyDescent="0.25">
      <c r="A148" t="s">
        <v>295</v>
      </c>
      <c r="B148">
        <v>1</v>
      </c>
      <c r="C148" t="s">
        <v>431</v>
      </c>
    </row>
    <row r="149" spans="1:3" x14ac:dyDescent="0.25">
      <c r="A149" t="s">
        <v>296</v>
      </c>
      <c r="B149">
        <v>1</v>
      </c>
      <c r="C149" t="s">
        <v>432</v>
      </c>
    </row>
    <row r="150" spans="1:3" x14ac:dyDescent="0.25">
      <c r="A150" s="25" t="s">
        <v>297</v>
      </c>
      <c r="B150" s="26"/>
      <c r="C150" s="26"/>
    </row>
    <row r="151" spans="1:3" x14ac:dyDescent="0.25">
      <c r="A151" t="s">
        <v>298</v>
      </c>
      <c r="B151">
        <v>0.05</v>
      </c>
      <c r="C151" t="s">
        <v>433</v>
      </c>
    </row>
    <row r="152" spans="1:3" x14ac:dyDescent="0.25">
      <c r="A152" t="s">
        <v>299</v>
      </c>
      <c r="B152">
        <v>0.05</v>
      </c>
      <c r="C152" t="s">
        <v>434</v>
      </c>
    </row>
    <row r="153" spans="1:3" x14ac:dyDescent="0.25">
      <c r="A153" t="s">
        <v>300</v>
      </c>
      <c r="B153">
        <v>0.05</v>
      </c>
      <c r="C153" t="s">
        <v>435</v>
      </c>
    </row>
    <row r="154" spans="1:3" x14ac:dyDescent="0.25">
      <c r="A154" t="s">
        <v>301</v>
      </c>
      <c r="B154">
        <v>0.05</v>
      </c>
      <c r="C154" t="s">
        <v>436</v>
      </c>
    </row>
    <row r="155" spans="1:3" x14ac:dyDescent="0.25">
      <c r="A155" t="s">
        <v>302</v>
      </c>
      <c r="B155">
        <v>0.05</v>
      </c>
      <c r="C155" t="s">
        <v>437</v>
      </c>
    </row>
  </sheetData>
  <mergeCells count="19">
    <mergeCell ref="A150:C150"/>
    <mergeCell ref="A84:C84"/>
    <mergeCell ref="A90:C90"/>
    <mergeCell ref="A96:C96"/>
    <mergeCell ref="A102:C102"/>
    <mergeCell ref="A123:C123"/>
    <mergeCell ref="A144:C144"/>
    <mergeCell ref="A78:C78"/>
    <mergeCell ref="A13:C13"/>
    <mergeCell ref="A19:C19"/>
    <mergeCell ref="A24:C24"/>
    <mergeCell ref="A30:C30"/>
    <mergeCell ref="A36:C36"/>
    <mergeCell ref="A42:C42"/>
    <mergeCell ref="A48:C48"/>
    <mergeCell ref="A54:C54"/>
    <mergeCell ref="A60:C60"/>
    <mergeCell ref="A66:C66"/>
    <mergeCell ref="A72:C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101</vt:i4>
      </vt:variant>
    </vt:vector>
  </HeadingPairs>
  <TitlesOfParts>
    <vt:vector size="106" baseType="lpstr">
      <vt:lpstr>Content</vt:lpstr>
      <vt:lpstr>IO_Data</vt:lpstr>
      <vt:lpstr>Data</vt:lpstr>
      <vt:lpstr>Start</vt:lpstr>
      <vt:lpstr>Structural Parameters</vt:lpstr>
      <vt:lpstr>H0_1_p</vt:lpstr>
      <vt:lpstr>LF0_1_p</vt:lpstr>
      <vt:lpstr>N0_1_p</vt:lpstr>
      <vt:lpstr>N0_p</vt:lpstr>
      <vt:lpstr>P0_D_1_p</vt:lpstr>
      <vt:lpstr>P0_MR_1_p</vt:lpstr>
      <vt:lpstr>phiM_F_1_1_p</vt:lpstr>
      <vt:lpstr>phiM_F_2_1_p</vt:lpstr>
      <vt:lpstr>phiM_F_3_1_p</vt:lpstr>
      <vt:lpstr>phiM_F_4_1_p</vt:lpstr>
      <vt:lpstr>phiM_F_5_1_p</vt:lpstr>
      <vt:lpstr>phiM_I_1_1_p</vt:lpstr>
      <vt:lpstr>phiM_I_2_1_p</vt:lpstr>
      <vt:lpstr>phiM_I_3_1_p</vt:lpstr>
      <vt:lpstr>phiM_I_4_1_p</vt:lpstr>
      <vt:lpstr>phiM_I_5_1_p</vt:lpstr>
      <vt:lpstr>phiM_p</vt:lpstr>
      <vt:lpstr>phiN0_1_1_p</vt:lpstr>
      <vt:lpstr>phiN0_2_1_p</vt:lpstr>
      <vt:lpstr>phiN0_3_1_p</vt:lpstr>
      <vt:lpstr>phiN0_4_1_p</vt:lpstr>
      <vt:lpstr>phiN0_5_1_p</vt:lpstr>
      <vt:lpstr>phiQ_D_1_1_1_p</vt:lpstr>
      <vt:lpstr>phiQ_D_2_1_1_p</vt:lpstr>
      <vt:lpstr>phiQ_D_3_1_1_p</vt:lpstr>
      <vt:lpstr>phiQ_D_4_1_1_p</vt:lpstr>
      <vt:lpstr>phiQ_D_5_1_1_p</vt:lpstr>
      <vt:lpstr>phiQI_1_1_1_p</vt:lpstr>
      <vt:lpstr>phiQI_1_1_2_p</vt:lpstr>
      <vt:lpstr>phiQI_1_1_3_p</vt:lpstr>
      <vt:lpstr>phiQI_1_1_4_p</vt:lpstr>
      <vt:lpstr>phiQI_1_1_p</vt:lpstr>
      <vt:lpstr>phiQI_2_1_1_p</vt:lpstr>
      <vt:lpstr>phiQI_2_1_2_p</vt:lpstr>
      <vt:lpstr>phiQI_2_1_3_p</vt:lpstr>
      <vt:lpstr>phiQI_2_1_4_p</vt:lpstr>
      <vt:lpstr>phiQI_2_1_p</vt:lpstr>
      <vt:lpstr>phiQI_3_1_1_p</vt:lpstr>
      <vt:lpstr>phiQI_3_1_2_p</vt:lpstr>
      <vt:lpstr>phiQI_3_1_3_p</vt:lpstr>
      <vt:lpstr>phiQI_3_1_4_p</vt:lpstr>
      <vt:lpstr>phiQI_3_1_p</vt:lpstr>
      <vt:lpstr>phiQI_4_1_1_p</vt:lpstr>
      <vt:lpstr>phiQI_4_1_2_p</vt:lpstr>
      <vt:lpstr>phiQI_4_1_3_p</vt:lpstr>
      <vt:lpstr>phiQI_4_1_4_p</vt:lpstr>
      <vt:lpstr>phiQI_4_1_p</vt:lpstr>
      <vt:lpstr>phiQI_5_1_1_p</vt:lpstr>
      <vt:lpstr>phiQI_5_1_2_p</vt:lpstr>
      <vt:lpstr>phiQI_5_1_3_p</vt:lpstr>
      <vt:lpstr>phiQI_5_1_4_p</vt:lpstr>
      <vt:lpstr>phiQI_5_1_p</vt:lpstr>
      <vt:lpstr>phiQPV0_p</vt:lpstr>
      <vt:lpstr>phiW_1_1_p</vt:lpstr>
      <vt:lpstr>phiW_2_1_p</vt:lpstr>
      <vt:lpstr>phiW_3_1_p</vt:lpstr>
      <vt:lpstr>phiW_4_1_p</vt:lpstr>
      <vt:lpstr>phiW_5_1_p</vt:lpstr>
      <vt:lpstr>phiX_1_1_p</vt:lpstr>
      <vt:lpstr>phiX_2_1_p</vt:lpstr>
      <vt:lpstr>phiX_3_1_p</vt:lpstr>
      <vt:lpstr>phiX_4_1_p</vt:lpstr>
      <vt:lpstr>phiX_5_1_p</vt:lpstr>
      <vt:lpstr>phiY0_1_1_p</vt:lpstr>
      <vt:lpstr>phiY0_2_1_p</vt:lpstr>
      <vt:lpstr>phiY0_3_1_p</vt:lpstr>
      <vt:lpstr>phiY0_4_1_p</vt:lpstr>
      <vt:lpstr>phiY0_5_1_p</vt:lpstr>
      <vt:lpstr>PoP0_1_p</vt:lpstr>
      <vt:lpstr>sE_1_1_p</vt:lpstr>
      <vt:lpstr>sE_2_1_p</vt:lpstr>
      <vt:lpstr>sE_3_1_p</vt:lpstr>
      <vt:lpstr>sE_4_1_p</vt:lpstr>
      <vt:lpstr>sE_5_1_p</vt:lpstr>
      <vt:lpstr>sEI_1_1_1_p</vt:lpstr>
      <vt:lpstr>sEI_1_1_2_p</vt:lpstr>
      <vt:lpstr>sEI_1_1_3_p</vt:lpstr>
      <vt:lpstr>sEI_1_1_4_p</vt:lpstr>
      <vt:lpstr>sEI_2_1_1_p</vt:lpstr>
      <vt:lpstr>sEI_2_1_2_p</vt:lpstr>
      <vt:lpstr>sEI_2_1_3_p</vt:lpstr>
      <vt:lpstr>sEI_2_1_4_p</vt:lpstr>
      <vt:lpstr>sEI_3_1_1_p</vt:lpstr>
      <vt:lpstr>sEI_3_1_2_p</vt:lpstr>
      <vt:lpstr>sEI_3_1_3_p</vt:lpstr>
      <vt:lpstr>sEI_3_1_4_p</vt:lpstr>
      <vt:lpstr>sEI_4_1_1_p</vt:lpstr>
      <vt:lpstr>sEI_4_1_2_p</vt:lpstr>
      <vt:lpstr>sEI_4_1_3_p</vt:lpstr>
      <vt:lpstr>sEI_4_1_4_p</vt:lpstr>
      <vt:lpstr>sEI_5_1_1_p</vt:lpstr>
      <vt:lpstr>sEI_5_1_2_p</vt:lpstr>
      <vt:lpstr>sEI_5_1_3_p</vt:lpstr>
      <vt:lpstr>sEI_5_1_4_p</vt:lpstr>
      <vt:lpstr>sH_p</vt:lpstr>
      <vt:lpstr>SL0_p</vt:lpstr>
      <vt:lpstr>tas0_1_p</vt:lpstr>
      <vt:lpstr>tauC_p</vt:lpstr>
      <vt:lpstr>tauKH_p</vt:lpstr>
      <vt:lpstr>tauNH_p</vt:lpstr>
      <vt:lpstr>Y0_p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Schult, Christoph</cp:lastModifiedBy>
  <dcterms:modified xsi:type="dcterms:W3CDTF">2026-09-12T12:37:48Z</dcterms:modified>
</cp:coreProperties>
</file>