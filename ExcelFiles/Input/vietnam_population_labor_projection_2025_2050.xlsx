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chul\Downloads\"/>
    </mc:Choice>
  </mc:AlternateContent>
  <xr:revisionPtr revIDLastSave="0" documentId="13_ncr:1_{461449D1-14FA-4247-A28E-F98E2A435D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ion" sheetId="1" r:id="rId1"/>
    <sheet name="Sources_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1" i="1" l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I20" i="1"/>
  <c r="I19" i="1"/>
  <c r="I8" i="1"/>
  <c r="I7" i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H19" i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H7" i="1"/>
  <c r="H6" i="1"/>
  <c r="I6" i="1" s="1"/>
  <c r="H5" i="1"/>
  <c r="I5" i="1" s="1"/>
</calcChain>
</file>

<file path=xl/sharedStrings.xml><?xml version="1.0" encoding="utf-8"?>
<sst xmlns="http://schemas.openxmlformats.org/spreadsheetml/2006/main" count="97" uniqueCount="64">
  <si>
    <t>Viet Nam population, working-age population, labor-force projection and residual non-labor-force population, 2025-2050</t>
  </si>
  <si>
    <t>Labor force projection is mechanical: 2025 labor force multiplied by the working-age population index. Non-labor-force residual = working-age population minus projected labor force.</t>
  </si>
  <si>
    <t>Year</t>
  </si>
  <si>
    <t>Total population (mn)</t>
  </si>
  <si>
    <t>Working-age population 15-64 (mn)</t>
  </si>
  <si>
    <t>Working-age index (2025=100)</t>
  </si>
  <si>
    <t>Labor force projection (mn)</t>
  </si>
  <si>
    <t>Labor force index (2025=100)</t>
  </si>
  <si>
    <t>Non-labor-force residual (mn)</t>
  </si>
  <si>
    <t>Residual share of working-age pop.</t>
  </si>
  <si>
    <t>Labor force / working-age pop.</t>
  </si>
  <si>
    <t>Main source / method</t>
  </si>
  <si>
    <t>UN WPP/ESCAP population anchors; World Bank/ILO 2025 labor force; annual linear interpolation; LF follows WAP index</t>
  </si>
  <si>
    <t>Key formulas</t>
  </si>
  <si>
    <t>Working-age index</t>
  </si>
  <si>
    <t>Formula: Working-age population / 2025 working-age population * 100</t>
  </si>
  <si>
    <t>Labor force projection</t>
  </si>
  <si>
    <t>Formula: 2025 labor force * working-age index / 100</t>
  </si>
  <si>
    <t>Non-labor-force residual</t>
  </si>
  <si>
    <t>Formula: Working-age population - labor force projection</t>
  </si>
  <si>
    <t>Residual share</t>
  </si>
  <si>
    <t>Formula: non-labor-force residual / working-age population</t>
  </si>
  <si>
    <t>Sources and assumptions</t>
  </si>
  <si>
    <t>Item</t>
  </si>
  <si>
    <t>Value / method</t>
  </si>
  <si>
    <t>Unit</t>
  </si>
  <si>
    <t>Source URL</t>
  </si>
  <si>
    <t>Source type</t>
  </si>
  <si>
    <t>Notes</t>
  </si>
  <si>
    <t>Population projection anchors</t>
  </si>
  <si>
    <t>Total population anchors: 2025=101.6, 2030=104.4, 2035=106.5, 2040=108.4, 2045=109.7, 2050=110.0</t>
  </si>
  <si>
    <t>million persons</t>
  </si>
  <si>
    <t>https://www.un.org/development/desa/pd/content/world-population-prospects-2024-dataset</t>
  </si>
  <si>
    <t>UN WPP 2024</t>
  </si>
  <si>
    <t>Workbook uses 5-year anchors and annual linear interpolation.</t>
  </si>
  <si>
    <t>Working-age population anchors</t>
  </si>
  <si>
    <t>15-64 anchors: 2025=68.7, 2030=71.2, 2035=71.3, 2040=71.1, 2045=70.5, 2050=69.3</t>
  </si>
  <si>
    <t>https://data.worldbank.org/indicator/SP.POP.1564.TO?locations=VN</t>
  </si>
  <si>
    <t>World Bank / UN Population Division</t>
  </si>
  <si>
    <t>Projection values use the UN WPP/ESCAP-style trajectory summarized earlier; 2024 actual is from World Bank.</t>
  </si>
  <si>
    <t>Labor force base year</t>
  </si>
  <si>
    <t>2025 labor force = 57.041323</t>
  </si>
  <si>
    <t>https://data.worldbank.org/indicator/SL.TLF.TOTL.IN?locations=VN</t>
  </si>
  <si>
    <t>World Bank / ILO modeled estimate</t>
  </si>
  <si>
    <t>Used only as the starting value for the mechanical projection.</t>
  </si>
  <si>
    <t>Labor force projection method</t>
  </si>
  <si>
    <t>LF_t = LF_2025 * (WAP_t / WAP_2025)</t>
  </si>
  <si>
    <t>Assumption in this workbook</t>
  </si>
  <si>
    <t>Model assumption</t>
  </si>
  <si>
    <t>This ensures the labor-force index reflects only the evolution of the working-age population.</t>
  </si>
  <si>
    <t>Residual_t = WAP_t - LF_t</t>
  </si>
  <si>
    <t>Formula in Projection sheet</t>
  </si>
  <si>
    <t>Derived variable</t>
  </si>
  <si>
    <t>This is not an external source; it is the explicit residual requested by the user.</t>
  </si>
  <si>
    <t>Residual share_t = Residual_t / WAP_t</t>
  </si>
  <si>
    <t>percent</t>
  </si>
  <si>
    <t>Constant by construction because LF follows WAP index exactly.</t>
  </si>
  <si>
    <t>Vietnam national projection reference</t>
  </si>
  <si>
    <t>Vietnam Population Projections, 2024-2074</t>
  </si>
  <si>
    <t>reference</t>
  </si>
  <si>
    <t>https://www.nso.gov.vn/en/default/2025/12/viet-nam-population-projections-2024-2074/</t>
  </si>
  <si>
    <t>NSO Viet Nam</t>
  </si>
  <si>
    <t>Useful cross-check for the timing of ageing and demographic-window closure.</t>
  </si>
  <si>
    <t>Non-Labor force index (2025=100)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</si>
</sst>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name val="Carlito"/>
    </font>
    <font>
      <b/>
      <sz val="14"/>
      <color rgb="FF0F3D3E"/>
      <name val="Carlito"/>
    </font>
    <font>
      <i/>
      <sz val="11"/>
      <color rgb="FF334155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0F2F1"/>
      </patternFill>
    </fill>
    <fill>
      <patternFill patternType="solid">
        <fgColor rgb="FFF8FAFC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65" formatCode="0.0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Working-age, labor-force projection and non-labor-force residual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population (mn)</c:v>
          </c:tx>
          <c:cat>
            <c:numRef>
              <c:f>Projection!$A$5:$A$30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Projection!$B$5:$B$30</c:f>
              <c:numCache>
                <c:formatCode>0.0</c:formatCode>
                <c:ptCount val="26"/>
                <c:pt idx="0">
                  <c:v>101.6</c:v>
                </c:pt>
                <c:pt idx="1">
                  <c:v>102.16</c:v>
                </c:pt>
                <c:pt idx="2">
                  <c:v>102.72</c:v>
                </c:pt>
                <c:pt idx="3">
                  <c:v>103.28</c:v>
                </c:pt>
                <c:pt idx="4">
                  <c:v>103.84</c:v>
                </c:pt>
                <c:pt idx="5">
                  <c:v>104.4</c:v>
                </c:pt>
                <c:pt idx="6">
                  <c:v>104.82000000000001</c:v>
                </c:pt>
                <c:pt idx="7">
                  <c:v>105.24000000000001</c:v>
                </c:pt>
                <c:pt idx="8">
                  <c:v>105.66</c:v>
                </c:pt>
                <c:pt idx="9">
                  <c:v>106.08</c:v>
                </c:pt>
                <c:pt idx="10">
                  <c:v>106.5</c:v>
                </c:pt>
                <c:pt idx="11">
                  <c:v>106.88</c:v>
                </c:pt>
                <c:pt idx="12">
                  <c:v>107.26</c:v>
                </c:pt>
                <c:pt idx="13">
                  <c:v>107.64</c:v>
                </c:pt>
                <c:pt idx="14">
                  <c:v>108.02000000000001</c:v>
                </c:pt>
                <c:pt idx="15">
                  <c:v>108.4</c:v>
                </c:pt>
                <c:pt idx="16">
                  <c:v>108.66000000000001</c:v>
                </c:pt>
                <c:pt idx="17">
                  <c:v>108.92</c:v>
                </c:pt>
                <c:pt idx="18">
                  <c:v>109.18</c:v>
                </c:pt>
                <c:pt idx="19">
                  <c:v>109.44</c:v>
                </c:pt>
                <c:pt idx="20">
                  <c:v>109.7</c:v>
                </c:pt>
                <c:pt idx="21">
                  <c:v>109.76</c:v>
                </c:pt>
                <c:pt idx="22">
                  <c:v>109.82000000000001</c:v>
                </c:pt>
                <c:pt idx="23">
                  <c:v>109.88</c:v>
                </c:pt>
                <c:pt idx="24">
                  <c:v>109.94</c:v>
                </c:pt>
                <c:pt idx="2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7-4B7D-89F6-2C78BE866EC3}"/>
            </c:ext>
          </c:extLst>
        </c:ser>
        <c:ser>
          <c:idx val="1"/>
          <c:order val="1"/>
          <c:tx>
            <c:v>Working-age population 15-64 (mn)</c:v>
          </c:tx>
          <c:cat>
            <c:numRef>
              <c:f>Projection!$A$5:$A$30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Projection!$C$5:$C$30</c:f>
              <c:numCache>
                <c:formatCode>0.0</c:formatCode>
                <c:ptCount val="26"/>
                <c:pt idx="0">
                  <c:v>68.7</c:v>
                </c:pt>
                <c:pt idx="1">
                  <c:v>69.2</c:v>
                </c:pt>
                <c:pt idx="2">
                  <c:v>69.7</c:v>
                </c:pt>
                <c:pt idx="3">
                  <c:v>70.2</c:v>
                </c:pt>
                <c:pt idx="4">
                  <c:v>70.7</c:v>
                </c:pt>
                <c:pt idx="5">
                  <c:v>71.2</c:v>
                </c:pt>
                <c:pt idx="6">
                  <c:v>71.22</c:v>
                </c:pt>
                <c:pt idx="7">
                  <c:v>71.239999999999995</c:v>
                </c:pt>
                <c:pt idx="8">
                  <c:v>71.260000000000005</c:v>
                </c:pt>
                <c:pt idx="9">
                  <c:v>71.28</c:v>
                </c:pt>
                <c:pt idx="10">
                  <c:v>71.3</c:v>
                </c:pt>
                <c:pt idx="11">
                  <c:v>71.259999999999991</c:v>
                </c:pt>
                <c:pt idx="12">
                  <c:v>71.22</c:v>
                </c:pt>
                <c:pt idx="13">
                  <c:v>71.179999999999993</c:v>
                </c:pt>
                <c:pt idx="14">
                  <c:v>71.14</c:v>
                </c:pt>
                <c:pt idx="15">
                  <c:v>71.099999999999994</c:v>
                </c:pt>
                <c:pt idx="16">
                  <c:v>70.97999999999999</c:v>
                </c:pt>
                <c:pt idx="17">
                  <c:v>70.86</c:v>
                </c:pt>
                <c:pt idx="18">
                  <c:v>70.739999999999995</c:v>
                </c:pt>
                <c:pt idx="19">
                  <c:v>70.62</c:v>
                </c:pt>
                <c:pt idx="20">
                  <c:v>70.5</c:v>
                </c:pt>
                <c:pt idx="21">
                  <c:v>70.260000000000005</c:v>
                </c:pt>
                <c:pt idx="22">
                  <c:v>70.02</c:v>
                </c:pt>
                <c:pt idx="23">
                  <c:v>69.78</c:v>
                </c:pt>
                <c:pt idx="24">
                  <c:v>69.539999999999992</c:v>
                </c:pt>
                <c:pt idx="25">
                  <c:v>69.3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7-4B7D-89F6-2C78BE866EC3}"/>
            </c:ext>
          </c:extLst>
        </c:ser>
        <c:ser>
          <c:idx val="2"/>
          <c:order val="2"/>
          <c:tx>
            <c:v>Working-age index (2025=100)</c:v>
          </c:tx>
          <c:cat>
            <c:numRef>
              <c:f>Projection!$A$5:$A$30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Projection!$D$5:$D$30</c:f>
              <c:numCache>
                <c:formatCode>0.0</c:formatCode>
                <c:ptCount val="26"/>
                <c:pt idx="0">
                  <c:v>100</c:v>
                </c:pt>
                <c:pt idx="1">
                  <c:v>100.72780203784571</c:v>
                </c:pt>
                <c:pt idx="2">
                  <c:v>101.45560407569141</c:v>
                </c:pt>
                <c:pt idx="3">
                  <c:v>102.18340611353712</c:v>
                </c:pt>
                <c:pt idx="4">
                  <c:v>102.91120815138282</c:v>
                </c:pt>
                <c:pt idx="5">
                  <c:v>103.63901018922851</c:v>
                </c:pt>
                <c:pt idx="6">
                  <c:v>103.66812227074236</c:v>
                </c:pt>
                <c:pt idx="7">
                  <c:v>103.69723435225617</c:v>
                </c:pt>
                <c:pt idx="8">
                  <c:v>103.72634643377</c:v>
                </c:pt>
                <c:pt idx="9">
                  <c:v>103.75545851528385</c:v>
                </c:pt>
                <c:pt idx="10">
                  <c:v>103.78457059679766</c:v>
                </c:pt>
                <c:pt idx="11">
                  <c:v>103.72634643376999</c:v>
                </c:pt>
                <c:pt idx="12">
                  <c:v>103.66812227074236</c:v>
                </c:pt>
                <c:pt idx="13">
                  <c:v>103.60989810771468</c:v>
                </c:pt>
                <c:pt idx="14">
                  <c:v>103.55167394468705</c:v>
                </c:pt>
                <c:pt idx="15">
                  <c:v>103.49344978165938</c:v>
                </c:pt>
                <c:pt idx="16">
                  <c:v>103.31877729257639</c:v>
                </c:pt>
                <c:pt idx="17">
                  <c:v>103.14410480349345</c:v>
                </c:pt>
                <c:pt idx="18">
                  <c:v>102.96943231441047</c:v>
                </c:pt>
                <c:pt idx="19">
                  <c:v>102.7947598253275</c:v>
                </c:pt>
                <c:pt idx="20">
                  <c:v>102.62008733624455</c:v>
                </c:pt>
                <c:pt idx="21">
                  <c:v>102.27074235807861</c:v>
                </c:pt>
                <c:pt idx="22">
                  <c:v>101.92139737991266</c:v>
                </c:pt>
                <c:pt idx="23">
                  <c:v>101.57205240174672</c:v>
                </c:pt>
                <c:pt idx="24">
                  <c:v>101.22270742358077</c:v>
                </c:pt>
                <c:pt idx="25">
                  <c:v>100.87336244541486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C7-4B7D-89F6-2C78BE866EC3}"/>
            </c:ext>
          </c:extLst>
        </c:ser>
        <c:ser>
          <c:idx val="3"/>
          <c:order val="3"/>
          <c:tx>
            <c:v>Labor force projection (mn)</c:v>
          </c:tx>
          <c:cat>
            <c:numRef>
              <c:f>Projection!$A$5:$A$30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Projection!$E$5:$E$30</c:f>
              <c:numCache>
                <c:formatCode>0.0</c:formatCode>
                <c:ptCount val="26"/>
                <c:pt idx="0">
                  <c:v>57.041323000000006</c:v>
                </c:pt>
                <c:pt idx="1">
                  <c:v>57.45647091120815</c:v>
                </c:pt>
                <c:pt idx="2">
                  <c:v>57.871618822416302</c:v>
                </c:pt>
                <c:pt idx="3">
                  <c:v>58.286766733624454</c:v>
                </c:pt>
                <c:pt idx="4">
                  <c:v>58.701914644832605</c:v>
                </c:pt>
                <c:pt idx="5">
                  <c:v>59.117062556040743</c:v>
                </c:pt>
                <c:pt idx="6">
                  <c:v>59.133668472489077</c:v>
                </c:pt>
                <c:pt idx="7">
                  <c:v>59.150274388937405</c:v>
                </c:pt>
                <c:pt idx="8">
                  <c:v>59.166880305385732</c:v>
                </c:pt>
                <c:pt idx="9">
                  <c:v>59.183486221834066</c:v>
                </c:pt>
                <c:pt idx="10">
                  <c:v>59.200092138282379</c:v>
                </c:pt>
                <c:pt idx="11">
                  <c:v>59.166880305385718</c:v>
                </c:pt>
                <c:pt idx="12">
                  <c:v>59.133668472489077</c:v>
                </c:pt>
                <c:pt idx="13">
                  <c:v>59.100456639592423</c:v>
                </c:pt>
                <c:pt idx="14">
                  <c:v>59.067244806695783</c:v>
                </c:pt>
                <c:pt idx="15">
                  <c:v>59.034032973799121</c:v>
                </c:pt>
                <c:pt idx="16">
                  <c:v>58.934397475109151</c:v>
                </c:pt>
                <c:pt idx="17">
                  <c:v>58.834761976419216</c:v>
                </c:pt>
                <c:pt idx="18">
                  <c:v>58.735126477729246</c:v>
                </c:pt>
                <c:pt idx="19">
                  <c:v>58.635490979039297</c:v>
                </c:pt>
                <c:pt idx="20">
                  <c:v>58.535855480349348</c:v>
                </c:pt>
                <c:pt idx="21">
                  <c:v>58.336584482969428</c:v>
                </c:pt>
                <c:pt idx="22">
                  <c:v>58.137313485589523</c:v>
                </c:pt>
                <c:pt idx="23">
                  <c:v>57.938042488209604</c:v>
                </c:pt>
                <c:pt idx="24">
                  <c:v>57.738771490829684</c:v>
                </c:pt>
                <c:pt idx="25">
                  <c:v>57.539500493449786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C7-4B7D-89F6-2C78BE866EC3}"/>
            </c:ext>
          </c:extLst>
        </c:ser>
        <c:ser>
          <c:idx val="4"/>
          <c:order val="4"/>
          <c:tx>
            <c:v>Labor force index (2025=100)</c:v>
          </c:tx>
          <c:cat>
            <c:numRef>
              <c:f>Projection!$A$5:$A$30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Projection!$F$5:$F$30</c:f>
              <c:numCache>
                <c:formatCode>0.0</c:formatCode>
                <c:ptCount val="26"/>
                <c:pt idx="0">
                  <c:v>100</c:v>
                </c:pt>
                <c:pt idx="1">
                  <c:v>100.72780203784571</c:v>
                </c:pt>
                <c:pt idx="2">
                  <c:v>101.45560407569141</c:v>
                </c:pt>
                <c:pt idx="3">
                  <c:v>102.18340611353712</c:v>
                </c:pt>
                <c:pt idx="4">
                  <c:v>102.91120815138282</c:v>
                </c:pt>
                <c:pt idx="5">
                  <c:v>103.63901018922851</c:v>
                </c:pt>
                <c:pt idx="6">
                  <c:v>103.66812227074236</c:v>
                </c:pt>
                <c:pt idx="7">
                  <c:v>103.69723435225617</c:v>
                </c:pt>
                <c:pt idx="8">
                  <c:v>103.72634643377</c:v>
                </c:pt>
                <c:pt idx="9">
                  <c:v>103.75545851528385</c:v>
                </c:pt>
                <c:pt idx="10">
                  <c:v>103.78457059679766</c:v>
                </c:pt>
                <c:pt idx="11">
                  <c:v>103.72634643376999</c:v>
                </c:pt>
                <c:pt idx="12">
                  <c:v>103.66812227074236</c:v>
                </c:pt>
                <c:pt idx="13">
                  <c:v>103.60989810771468</c:v>
                </c:pt>
                <c:pt idx="14">
                  <c:v>103.55167394468705</c:v>
                </c:pt>
                <c:pt idx="15">
                  <c:v>103.49344978165938</c:v>
                </c:pt>
                <c:pt idx="16">
                  <c:v>103.31877729257639</c:v>
                </c:pt>
                <c:pt idx="17">
                  <c:v>103.14410480349345</c:v>
                </c:pt>
                <c:pt idx="18">
                  <c:v>102.96943231441047</c:v>
                </c:pt>
                <c:pt idx="19">
                  <c:v>102.7947598253275</c:v>
                </c:pt>
                <c:pt idx="20">
                  <c:v>102.62008733624455</c:v>
                </c:pt>
                <c:pt idx="21">
                  <c:v>102.27074235807861</c:v>
                </c:pt>
                <c:pt idx="22">
                  <c:v>101.92139737991266</c:v>
                </c:pt>
                <c:pt idx="23">
                  <c:v>101.57205240174672</c:v>
                </c:pt>
                <c:pt idx="24">
                  <c:v>101.22270742358077</c:v>
                </c:pt>
                <c:pt idx="25">
                  <c:v>100.87336244541486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C7-4B7D-89F6-2C78BE866EC3}"/>
            </c:ext>
          </c:extLst>
        </c:ser>
        <c:ser>
          <c:idx val="5"/>
          <c:order val="5"/>
          <c:tx>
            <c:v>Non-labor-force residual (mn)</c:v>
          </c:tx>
          <c:cat>
            <c:numRef>
              <c:f>Projection!$A$5:$A$30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Projection!$H$5:$H$30</c:f>
              <c:numCache>
                <c:formatCode>0.0</c:formatCode>
                <c:ptCount val="26"/>
                <c:pt idx="0">
                  <c:v>32.899999999999991</c:v>
                </c:pt>
                <c:pt idx="1">
                  <c:v>32.959999999999994</c:v>
                </c:pt>
                <c:pt idx="2">
                  <c:v>33.019999999999996</c:v>
                </c:pt>
                <c:pt idx="3">
                  <c:v>33.08</c:v>
                </c:pt>
                <c:pt idx="4">
                  <c:v>33.14</c:v>
                </c:pt>
                <c:pt idx="5">
                  <c:v>33.200000000000003</c:v>
                </c:pt>
                <c:pt idx="6">
                  <c:v>33.600000000000009</c:v>
                </c:pt>
                <c:pt idx="7">
                  <c:v>34.000000000000014</c:v>
                </c:pt>
                <c:pt idx="8">
                  <c:v>34.399999999999991</c:v>
                </c:pt>
                <c:pt idx="9">
                  <c:v>34.799999999999997</c:v>
                </c:pt>
                <c:pt idx="10">
                  <c:v>35.200000000000003</c:v>
                </c:pt>
                <c:pt idx="11">
                  <c:v>35.620000000000005</c:v>
                </c:pt>
                <c:pt idx="12">
                  <c:v>36.040000000000006</c:v>
                </c:pt>
                <c:pt idx="13">
                  <c:v>36.460000000000008</c:v>
                </c:pt>
                <c:pt idx="14">
                  <c:v>36.88000000000001</c:v>
                </c:pt>
                <c:pt idx="15">
                  <c:v>37.300000000000011</c:v>
                </c:pt>
                <c:pt idx="16">
                  <c:v>37.680000000000021</c:v>
                </c:pt>
                <c:pt idx="17">
                  <c:v>38.06</c:v>
                </c:pt>
                <c:pt idx="18">
                  <c:v>38.440000000000012</c:v>
                </c:pt>
                <c:pt idx="19">
                  <c:v>38.819999999999993</c:v>
                </c:pt>
                <c:pt idx="20">
                  <c:v>39.200000000000003</c:v>
                </c:pt>
                <c:pt idx="21">
                  <c:v>39.5</c:v>
                </c:pt>
                <c:pt idx="22">
                  <c:v>39.800000000000011</c:v>
                </c:pt>
                <c:pt idx="23">
                  <c:v>40.099999999999994</c:v>
                </c:pt>
                <c:pt idx="24">
                  <c:v>40.400000000000006</c:v>
                </c:pt>
                <c:pt idx="25">
                  <c:v>40.700000000000003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C7-4B7D-89F6-2C78BE86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312056</xdr:colOff>
      <xdr:row>3</xdr:row>
      <xdr:rowOff>72572</xdr:rowOff>
    </xdr:from>
    <xdr:to>
      <xdr:col>30</xdr:col>
      <xdr:colOff>587828</xdr:colOff>
      <xdr:row>20</xdr:row>
      <xdr:rowOff>72572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etnamLaborProjection" displayName="VietnamLaborProjection" ref="A4:K30">
  <tableColumns count="11">
    <tableColumn id="1" xr3:uid="{00000000-0010-0000-0000-000001000000}" name="Year"/>
    <tableColumn id="2" xr3:uid="{00000000-0010-0000-0000-000002000000}" name="Total population (mn)"/>
    <tableColumn id="3" xr3:uid="{00000000-0010-0000-0000-000003000000}" name="Working-age population 15-64 (mn)"/>
    <tableColumn id="4" xr3:uid="{00000000-0010-0000-0000-000004000000}" name="Working-age index (2025=100)"/>
    <tableColumn id="5" xr3:uid="{00000000-0010-0000-0000-000005000000}" name="Labor force projection (mn)"/>
    <tableColumn id="6" xr3:uid="{00000000-0010-0000-0000-000006000000}" name="Labor force index (2025=100)"/>
    <tableColumn id="11" xr3:uid="{E5A045E0-7A0E-4F77-9B7B-73D4150740C7}" name="Non-Labor force index (2025=100)" dataDxfId="0">
      <calculatedColumnFormula>VietnamLaborProjection[[#This Row],[Non-labor-force residual (mn)]]/$H$5*100</calculatedColumnFormula>
    </tableColumn>
    <tableColumn id="7" xr3:uid="{00000000-0010-0000-0000-000007000000}" name="Non-labor-force residual (mn)" dataDxfId="2">
      <calculatedColumnFormula>VietnamLaborProjection[[#This Row],[Total population (mn)]]-VietnamLaborProjection[[#This Row],[Working-age population 15-64 (mn)]]</calculatedColumnFormula>
    </tableColumn>
    <tableColumn id="8" xr3:uid="{00000000-0010-0000-0000-000008000000}" name="Residual share of working-age pop." dataDxfId="1">
      <calculatedColumnFormula>VietnamLaborProjection[[#This Row],[Non-labor-force residual (mn)]]/VietnamLaborProjection[[#This Row],[Total population (mn)]]</calculatedColumnFormula>
    </tableColumn>
    <tableColumn id="9" xr3:uid="{00000000-0010-0000-0000-000009000000}" name="Labor force / working-age pop."/>
    <tableColumn id="10" xr3:uid="{00000000-0010-0000-0000-00000A000000}" name="Main source /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AssumptionsTable" displayName="SourcesAssumptionsTable" ref="A3:F10">
  <tableColumns count="6">
    <tableColumn id="1" xr3:uid="{00000000-0010-0000-0100-000001000000}" name="Item"/>
    <tableColumn id="2" xr3:uid="{00000000-0010-0000-0100-000002000000}" name="Value / method"/>
    <tableColumn id="3" xr3:uid="{00000000-0010-0000-0100-000003000000}" name="Unit"/>
    <tableColumn id="4" xr3:uid="{00000000-0010-0000-0100-000004000000}" name="Source URL"/>
    <tableColumn id="5" xr3:uid="{00000000-0010-0000-0100-000005000000}" name="Source type"/>
    <tableColumn id="6" xr3:uid="{00000000-0010-0000-01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topLeftCell="T5" zoomScale="105" zoomScaleNormal="69" workbookViewId="0">
      <selection activeCell="AI30" sqref="AH5:AI30"/>
    </sheetView>
  </sheetViews>
  <sheetFormatPr defaultRowHeight="14.4" x14ac:dyDescent="0.3"/>
  <cols>
    <col min="1" max="1" width="10" customWidth="1"/>
    <col min="2" max="2" width="18" customWidth="1"/>
    <col min="3" max="3" width="24" customWidth="1"/>
    <col min="4" max="4" width="20" customWidth="1"/>
    <col min="5" max="5" width="22" customWidth="1"/>
    <col min="6" max="7" width="20" customWidth="1"/>
    <col min="8" max="8" width="24" customWidth="1"/>
    <col min="9" max="10" width="23" customWidth="1"/>
    <col min="11" max="11" width="42" customWidth="1"/>
    <col min="13" max="13" width="26" customWidth="1"/>
    <col min="14" max="14" width="58" customWidth="1"/>
  </cols>
  <sheetData>
    <row r="1" spans="1:35" ht="22.3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35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35" ht="33.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63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35" ht="43.2" x14ac:dyDescent="0.3">
      <c r="A5" s="2">
        <v>2025</v>
      </c>
      <c r="B5" s="3">
        <v>101.6</v>
      </c>
      <c r="C5" s="3">
        <v>68.7</v>
      </c>
      <c r="D5" s="3">
        <v>100</v>
      </c>
      <c r="E5" s="3">
        <v>57.041323000000006</v>
      </c>
      <c r="F5" s="3">
        <v>100</v>
      </c>
      <c r="G5" s="9">
        <f>VietnamLaborProjection[[#This Row],[Non-labor-force residual (mn)]]/$H$5*100</f>
        <v>100</v>
      </c>
      <c r="H5" s="3">
        <f>VietnamLaborProjection[[#This Row],[Total population (mn)]]-VietnamLaborProjection[[#This Row],[Working-age population 15-64 (mn)]]</f>
        <v>32.899999999999991</v>
      </c>
      <c r="I5" s="4">
        <f>VietnamLaborProjection[[#This Row],[Non-labor-force residual (mn)]]/VietnamLaborProjection[[#This Row],[Total population (mn)]]</f>
        <v>0.3238188976377952</v>
      </c>
      <c r="J5" s="4">
        <v>0.83029582241630284</v>
      </c>
      <c r="K5" s="5" t="s">
        <v>12</v>
      </c>
      <c r="AG5">
        <v>2025</v>
      </c>
      <c r="AH5">
        <f>F5/100</f>
        <v>1</v>
      </c>
      <c r="AI5">
        <f>G5/100</f>
        <v>1</v>
      </c>
    </row>
    <row r="6" spans="1:35" ht="43.2" x14ac:dyDescent="0.3">
      <c r="A6" s="2">
        <v>2026</v>
      </c>
      <c r="B6" s="3">
        <v>102.16</v>
      </c>
      <c r="C6" s="3">
        <v>69.2</v>
      </c>
      <c r="D6" s="3">
        <v>100.72780203784571</v>
      </c>
      <c r="E6" s="3">
        <v>57.45647091120815</v>
      </c>
      <c r="F6" s="3">
        <v>100.72780203784571</v>
      </c>
      <c r="G6" s="9">
        <f>VietnamLaborProjection[[#This Row],[Non-labor-force residual (mn)]]/$H$5*100</f>
        <v>100.18237082066869</v>
      </c>
      <c r="H6" s="3">
        <f>VietnamLaborProjection[[#This Row],[Total population (mn)]]-VietnamLaborProjection[[#This Row],[Working-age population 15-64 (mn)]]</f>
        <v>32.959999999999994</v>
      </c>
      <c r="I6" s="4">
        <f>VietnamLaborProjection[[#This Row],[Non-labor-force residual (mn)]]/VietnamLaborProjection[[#This Row],[Total population (mn)]]</f>
        <v>0.32263116679718085</v>
      </c>
      <c r="J6" s="4">
        <v>0.83029582241630273</v>
      </c>
      <c r="K6" s="5" t="s">
        <v>12</v>
      </c>
      <c r="AG6">
        <v>2026</v>
      </c>
      <c r="AH6">
        <f>F6/100</f>
        <v>1.007278020378457</v>
      </c>
      <c r="AI6">
        <f>G6/100</f>
        <v>1.001823708206687</v>
      </c>
    </row>
    <row r="7" spans="1:35" ht="43.2" x14ac:dyDescent="0.3">
      <c r="A7" s="2">
        <v>2027</v>
      </c>
      <c r="B7" s="3">
        <v>102.72</v>
      </c>
      <c r="C7" s="3">
        <v>69.7</v>
      </c>
      <c r="D7" s="3">
        <v>101.45560407569141</v>
      </c>
      <c r="E7" s="3">
        <v>57.871618822416302</v>
      </c>
      <c r="F7" s="3">
        <v>101.45560407569141</v>
      </c>
      <c r="G7" s="9">
        <f>VietnamLaborProjection[[#This Row],[Non-labor-force residual (mn)]]/$H$5*100</f>
        <v>100.36474164133739</v>
      </c>
      <c r="H7" s="3">
        <f>VietnamLaborProjection[[#This Row],[Total population (mn)]]-VietnamLaborProjection[[#This Row],[Working-age population 15-64 (mn)]]</f>
        <v>33.019999999999996</v>
      </c>
      <c r="I7" s="4">
        <f>VietnamLaborProjection[[#This Row],[Non-labor-force residual (mn)]]/VietnamLaborProjection[[#This Row],[Total population (mn)]]</f>
        <v>0.32145638629283485</v>
      </c>
      <c r="J7" s="4">
        <v>0.83029582241630273</v>
      </c>
      <c r="K7" s="5" t="s">
        <v>12</v>
      </c>
      <c r="AG7">
        <v>2027</v>
      </c>
      <c r="AH7">
        <f>F7/100</f>
        <v>1.0145560407569141</v>
      </c>
      <c r="AI7">
        <f>G7/100</f>
        <v>1.003647416413374</v>
      </c>
    </row>
    <row r="8" spans="1:35" ht="43.2" x14ac:dyDescent="0.3">
      <c r="A8" s="2">
        <v>2028</v>
      </c>
      <c r="B8" s="3">
        <v>103.28</v>
      </c>
      <c r="C8" s="3">
        <v>70.2</v>
      </c>
      <c r="D8" s="3">
        <v>102.18340611353712</v>
      </c>
      <c r="E8" s="3">
        <v>58.286766733624454</v>
      </c>
      <c r="F8" s="3">
        <v>102.18340611353712</v>
      </c>
      <c r="G8" s="9">
        <f>VietnamLaborProjection[[#This Row],[Non-labor-force residual (mn)]]/$H$5*100</f>
        <v>100.5471124620061</v>
      </c>
      <c r="H8" s="3">
        <f>VietnamLaborProjection[[#This Row],[Total population (mn)]]-VietnamLaborProjection[[#This Row],[Working-age population 15-64 (mn)]]</f>
        <v>33.08</v>
      </c>
      <c r="I8" s="4">
        <f>VietnamLaborProjection[[#This Row],[Non-labor-force residual (mn)]]/VietnamLaborProjection[[#This Row],[Total population (mn)]]</f>
        <v>0.32029434546862895</v>
      </c>
      <c r="J8" s="4">
        <v>0.83029582241630273</v>
      </c>
      <c r="K8" s="5" t="s">
        <v>12</v>
      </c>
      <c r="AG8">
        <v>2028</v>
      </c>
      <c r="AH8">
        <f>F8/100</f>
        <v>1.0218340611353711</v>
      </c>
      <c r="AI8">
        <f>G8/100</f>
        <v>1.0054711246200609</v>
      </c>
    </row>
    <row r="9" spans="1:35" ht="43.2" x14ac:dyDescent="0.3">
      <c r="A9" s="2">
        <v>2029</v>
      </c>
      <c r="B9" s="3">
        <v>103.84</v>
      </c>
      <c r="C9" s="3">
        <v>70.7</v>
      </c>
      <c r="D9" s="3">
        <v>102.91120815138282</v>
      </c>
      <c r="E9" s="3">
        <v>58.701914644832605</v>
      </c>
      <c r="F9" s="3">
        <v>102.91120815138282</v>
      </c>
      <c r="G9" s="9">
        <f>VietnamLaborProjection[[#This Row],[Non-labor-force residual (mn)]]/$H$5*100</f>
        <v>100.72948328267479</v>
      </c>
      <c r="H9" s="3">
        <f>VietnamLaborProjection[[#This Row],[Total population (mn)]]-VietnamLaborProjection[[#This Row],[Working-age population 15-64 (mn)]]</f>
        <v>33.14</v>
      </c>
      <c r="I9" s="4">
        <f>VietnamLaborProjection[[#This Row],[Non-labor-force residual (mn)]]/VietnamLaborProjection[[#This Row],[Total population (mn)]]</f>
        <v>0.31914483821263484</v>
      </c>
      <c r="J9" s="4">
        <v>0.83029582241630273</v>
      </c>
      <c r="K9" s="5" t="s">
        <v>12</v>
      </c>
      <c r="AG9">
        <v>2029</v>
      </c>
      <c r="AH9">
        <f>F9/100</f>
        <v>1.0291120815138282</v>
      </c>
      <c r="AI9">
        <f>G9/100</f>
        <v>1.0072948328267479</v>
      </c>
    </row>
    <row r="10" spans="1:35" ht="43.2" x14ac:dyDescent="0.3">
      <c r="A10" s="2">
        <v>2030</v>
      </c>
      <c r="B10" s="3">
        <v>104.4</v>
      </c>
      <c r="C10" s="3">
        <v>71.2</v>
      </c>
      <c r="D10" s="3">
        <v>103.63901018922851</v>
      </c>
      <c r="E10" s="3">
        <v>59.117062556040743</v>
      </c>
      <c r="F10" s="3">
        <v>103.63901018922851</v>
      </c>
      <c r="G10" s="9">
        <f>VietnamLaborProjection[[#This Row],[Non-labor-force residual (mn)]]/$H$5*100</f>
        <v>100.91185410334349</v>
      </c>
      <c r="H10" s="3">
        <f>VietnamLaborProjection[[#This Row],[Total population (mn)]]-VietnamLaborProjection[[#This Row],[Working-age population 15-64 (mn)]]</f>
        <v>33.200000000000003</v>
      </c>
      <c r="I10" s="4">
        <f>VietnamLaborProjection[[#This Row],[Non-labor-force residual (mn)]]/VietnamLaborProjection[[#This Row],[Total population (mn)]]</f>
        <v>0.31800766283524906</v>
      </c>
      <c r="J10" s="4">
        <v>0.83029582241630251</v>
      </c>
      <c r="K10" s="5" t="s">
        <v>12</v>
      </c>
      <c r="AG10">
        <v>2030</v>
      </c>
      <c r="AH10">
        <f>F10/100</f>
        <v>1.0363901018922852</v>
      </c>
      <c r="AI10">
        <f>G10/100</f>
        <v>1.0091185410334349</v>
      </c>
    </row>
    <row r="11" spans="1:35" ht="43.2" x14ac:dyDescent="0.3">
      <c r="A11" s="2">
        <v>2031</v>
      </c>
      <c r="B11" s="3">
        <v>104.82000000000001</v>
      </c>
      <c r="C11" s="3">
        <v>71.22</v>
      </c>
      <c r="D11" s="3">
        <v>103.66812227074236</v>
      </c>
      <c r="E11" s="3">
        <v>59.133668472489077</v>
      </c>
      <c r="F11" s="3">
        <v>103.66812227074236</v>
      </c>
      <c r="G11" s="9">
        <f>VietnamLaborProjection[[#This Row],[Non-labor-force residual (mn)]]/$H$5*100</f>
        <v>102.12765957446814</v>
      </c>
      <c r="H11" s="3">
        <f>VietnamLaborProjection[[#This Row],[Total population (mn)]]-VietnamLaborProjection[[#This Row],[Working-age population 15-64 (mn)]]</f>
        <v>33.600000000000009</v>
      </c>
      <c r="I11" s="4">
        <f>VietnamLaborProjection[[#This Row],[Non-labor-force residual (mn)]]/VietnamLaborProjection[[#This Row],[Total population (mn)]]</f>
        <v>0.32054951345163141</v>
      </c>
      <c r="J11" s="4">
        <v>0.83029582241630273</v>
      </c>
      <c r="K11" s="5" t="s">
        <v>12</v>
      </c>
      <c r="AG11">
        <v>2031</v>
      </c>
      <c r="AH11">
        <f>F11/100</f>
        <v>1.0366812227074236</v>
      </c>
      <c r="AI11">
        <f>G11/100</f>
        <v>1.0212765957446814</v>
      </c>
    </row>
    <row r="12" spans="1:35" ht="43.2" x14ac:dyDescent="0.3">
      <c r="A12" s="2">
        <v>2032</v>
      </c>
      <c r="B12" s="3">
        <v>105.24000000000001</v>
      </c>
      <c r="C12" s="3">
        <v>71.239999999999995</v>
      </c>
      <c r="D12" s="3">
        <v>103.69723435225617</v>
      </c>
      <c r="E12" s="3">
        <v>59.150274388937405</v>
      </c>
      <c r="F12" s="3">
        <v>103.69723435225617</v>
      </c>
      <c r="G12" s="9">
        <f>VietnamLaborProjection[[#This Row],[Non-labor-force residual (mn)]]/$H$5*100</f>
        <v>103.34346504559278</v>
      </c>
      <c r="H12" s="3">
        <f>VietnamLaborProjection[[#This Row],[Total population (mn)]]-VietnamLaborProjection[[#This Row],[Working-age population 15-64 (mn)]]</f>
        <v>34.000000000000014</v>
      </c>
      <c r="I12" s="4">
        <f>VietnamLaborProjection[[#This Row],[Non-labor-force residual (mn)]]/VietnamLaborProjection[[#This Row],[Total population (mn)]]</f>
        <v>0.32307107563664017</v>
      </c>
      <c r="J12" s="4">
        <v>0.83029582241630273</v>
      </c>
      <c r="K12" s="5" t="s">
        <v>12</v>
      </c>
      <c r="AG12">
        <v>2032</v>
      </c>
      <c r="AH12">
        <f>F12/100</f>
        <v>1.0369723435225617</v>
      </c>
      <c r="AI12">
        <f>G12/100</f>
        <v>1.0334346504559278</v>
      </c>
    </row>
    <row r="13" spans="1:35" ht="43.2" x14ac:dyDescent="0.3">
      <c r="A13" s="2">
        <v>2033</v>
      </c>
      <c r="B13" s="3">
        <v>105.66</v>
      </c>
      <c r="C13" s="3">
        <v>71.260000000000005</v>
      </c>
      <c r="D13" s="3">
        <v>103.72634643377</v>
      </c>
      <c r="E13" s="3">
        <v>59.166880305385732</v>
      </c>
      <c r="F13" s="3">
        <v>103.72634643377</v>
      </c>
      <c r="G13" s="9">
        <f>VietnamLaborProjection[[#This Row],[Non-labor-force residual (mn)]]/$H$5*100</f>
        <v>104.55927051671732</v>
      </c>
      <c r="H13" s="3">
        <f>VietnamLaborProjection[[#This Row],[Total population (mn)]]-VietnamLaborProjection[[#This Row],[Working-age population 15-64 (mn)]]</f>
        <v>34.399999999999991</v>
      </c>
      <c r="I13" s="4">
        <f>VietnamLaborProjection[[#This Row],[Non-labor-force residual (mn)]]/VietnamLaborProjection[[#This Row],[Total population (mn)]]</f>
        <v>0.32557259133068328</v>
      </c>
      <c r="J13" s="4">
        <v>0.83029582241630262</v>
      </c>
      <c r="K13" s="5" t="s">
        <v>12</v>
      </c>
      <c r="AG13">
        <v>2033</v>
      </c>
      <c r="AH13">
        <f>F13/100</f>
        <v>1.0372634643377001</v>
      </c>
      <c r="AI13">
        <f>G13/100</f>
        <v>1.0455927051671732</v>
      </c>
    </row>
    <row r="14" spans="1:35" ht="43.2" x14ac:dyDescent="0.3">
      <c r="A14" s="2">
        <v>2034</v>
      </c>
      <c r="B14" s="3">
        <v>106.08</v>
      </c>
      <c r="C14" s="3">
        <v>71.28</v>
      </c>
      <c r="D14" s="3">
        <v>103.75545851528385</v>
      </c>
      <c r="E14" s="3">
        <v>59.183486221834066</v>
      </c>
      <c r="F14" s="3">
        <v>103.75545851528385</v>
      </c>
      <c r="G14" s="9">
        <f>VietnamLaborProjection[[#This Row],[Non-labor-force residual (mn)]]/$H$5*100</f>
        <v>105.77507598784197</v>
      </c>
      <c r="H14" s="3">
        <f>VietnamLaborProjection[[#This Row],[Total population (mn)]]-VietnamLaborProjection[[#This Row],[Working-age population 15-64 (mn)]]</f>
        <v>34.799999999999997</v>
      </c>
      <c r="I14" s="4">
        <f>VietnamLaborProjection[[#This Row],[Non-labor-force residual (mn)]]/VietnamLaborProjection[[#This Row],[Total population (mn)]]</f>
        <v>0.32805429864253394</v>
      </c>
      <c r="J14" s="4">
        <v>0.83029582241630284</v>
      </c>
      <c r="K14" s="5" t="s">
        <v>12</v>
      </c>
      <c r="AG14">
        <v>2034</v>
      </c>
      <c r="AH14">
        <f>F14/100</f>
        <v>1.0375545851528385</v>
      </c>
      <c r="AI14">
        <f>G14/100</f>
        <v>1.0577507598784197</v>
      </c>
    </row>
    <row r="15" spans="1:35" ht="43.2" x14ac:dyDescent="0.3">
      <c r="A15" s="2">
        <v>2035</v>
      </c>
      <c r="B15" s="3">
        <v>106.5</v>
      </c>
      <c r="C15" s="3">
        <v>71.3</v>
      </c>
      <c r="D15" s="3">
        <v>103.78457059679766</v>
      </c>
      <c r="E15" s="3">
        <v>59.200092138282379</v>
      </c>
      <c r="F15" s="3">
        <v>103.78457059679766</v>
      </c>
      <c r="G15" s="9">
        <f>VietnamLaborProjection[[#This Row],[Non-labor-force residual (mn)]]/$H$5*100</f>
        <v>106.9908814589666</v>
      </c>
      <c r="H15" s="3">
        <f>VietnamLaborProjection[[#This Row],[Total population (mn)]]-VietnamLaborProjection[[#This Row],[Working-age population 15-64 (mn)]]</f>
        <v>35.200000000000003</v>
      </c>
      <c r="I15" s="4">
        <f>VietnamLaborProjection[[#This Row],[Non-labor-force residual (mn)]]/VietnamLaborProjection[[#This Row],[Total population (mn)]]</f>
        <v>0.33051643192488267</v>
      </c>
      <c r="J15" s="4">
        <v>0.83029582241630273</v>
      </c>
      <c r="K15" s="5" t="s">
        <v>12</v>
      </c>
      <c r="AG15">
        <v>2035</v>
      </c>
      <c r="AH15">
        <f>F15/100</f>
        <v>1.0378457059679767</v>
      </c>
      <c r="AI15">
        <f>G15/100</f>
        <v>1.069908814589666</v>
      </c>
    </row>
    <row r="16" spans="1:35" ht="43.2" x14ac:dyDescent="0.3">
      <c r="A16" s="2">
        <v>2036</v>
      </c>
      <c r="B16" s="3">
        <v>106.88</v>
      </c>
      <c r="C16" s="3">
        <v>71.259999999999991</v>
      </c>
      <c r="D16" s="3">
        <v>103.72634643376999</v>
      </c>
      <c r="E16" s="3">
        <v>59.166880305385718</v>
      </c>
      <c r="F16" s="3">
        <v>103.72634643376999</v>
      </c>
      <c r="G16" s="9">
        <f>VietnamLaborProjection[[#This Row],[Non-labor-force residual (mn)]]/$H$5*100</f>
        <v>108.26747720364747</v>
      </c>
      <c r="H16" s="3">
        <f>VietnamLaborProjection[[#This Row],[Total population (mn)]]-VietnamLaborProjection[[#This Row],[Working-age population 15-64 (mn)]]</f>
        <v>35.620000000000005</v>
      </c>
      <c r="I16" s="4">
        <f>VietnamLaborProjection[[#This Row],[Non-labor-force residual (mn)]]/VietnamLaborProjection[[#This Row],[Total population (mn)]]</f>
        <v>0.33327095808383239</v>
      </c>
      <c r="J16" s="4">
        <v>0.83029582241630262</v>
      </c>
      <c r="K16" s="5" t="s">
        <v>12</v>
      </c>
      <c r="AG16">
        <v>2036</v>
      </c>
      <c r="AH16">
        <f t="shared" ref="AH16:AH20" si="0">F16/100</f>
        <v>1.0372634643376999</v>
      </c>
      <c r="AI16">
        <f t="shared" ref="AI16:AI20" si="1">G16/100</f>
        <v>1.0826747720364747</v>
      </c>
    </row>
    <row r="17" spans="1:35" ht="43.2" x14ac:dyDescent="0.3">
      <c r="A17" s="2">
        <v>2037</v>
      </c>
      <c r="B17" s="3">
        <v>107.26</v>
      </c>
      <c r="C17" s="3">
        <v>71.22</v>
      </c>
      <c r="D17" s="3">
        <v>103.66812227074236</v>
      </c>
      <c r="E17" s="3">
        <v>59.133668472489077</v>
      </c>
      <c r="F17" s="3">
        <v>103.66812227074236</v>
      </c>
      <c r="G17" s="9">
        <f>VietnamLaborProjection[[#This Row],[Non-labor-force residual (mn)]]/$H$5*100</f>
        <v>109.54407294832831</v>
      </c>
      <c r="H17" s="3">
        <f>VietnamLaborProjection[[#This Row],[Total population (mn)]]-VietnamLaborProjection[[#This Row],[Working-age population 15-64 (mn)]]</f>
        <v>36.040000000000006</v>
      </c>
      <c r="I17" s="4">
        <f>VietnamLaborProjection[[#This Row],[Non-labor-force residual (mn)]]/VietnamLaborProjection[[#This Row],[Total population (mn)]]</f>
        <v>0.33600596680962153</v>
      </c>
      <c r="J17" s="4">
        <v>0.83029582241630273</v>
      </c>
      <c r="K17" s="5" t="s">
        <v>12</v>
      </c>
      <c r="AG17">
        <v>2037</v>
      </c>
      <c r="AH17">
        <f t="shared" si="0"/>
        <v>1.0366812227074236</v>
      </c>
      <c r="AI17">
        <f t="shared" si="1"/>
        <v>1.0954407294832831</v>
      </c>
    </row>
    <row r="18" spans="1:35" ht="43.2" x14ac:dyDescent="0.3">
      <c r="A18" s="2">
        <v>2038</v>
      </c>
      <c r="B18" s="3">
        <v>107.64</v>
      </c>
      <c r="C18" s="3">
        <v>71.179999999999993</v>
      </c>
      <c r="D18" s="3">
        <v>103.60989810771468</v>
      </c>
      <c r="E18" s="3">
        <v>59.100456639592423</v>
      </c>
      <c r="F18" s="3">
        <v>103.60989810771468</v>
      </c>
      <c r="G18" s="9">
        <f>VietnamLaborProjection[[#This Row],[Non-labor-force residual (mn)]]/$H$5*100</f>
        <v>110.82066869300917</v>
      </c>
      <c r="H18" s="3">
        <f>VietnamLaborProjection[[#This Row],[Total population (mn)]]-VietnamLaborProjection[[#This Row],[Working-age population 15-64 (mn)]]</f>
        <v>36.460000000000008</v>
      </c>
      <c r="I18" s="4">
        <f>VietnamLaborProjection[[#This Row],[Non-labor-force residual (mn)]]/VietnamLaborProjection[[#This Row],[Total population (mn)]]</f>
        <v>0.33872166480862143</v>
      </c>
      <c r="J18" s="4">
        <v>0.83029582241630273</v>
      </c>
      <c r="K18" s="5" t="s">
        <v>12</v>
      </c>
      <c r="AG18">
        <v>2038</v>
      </c>
      <c r="AH18">
        <f t="shared" si="0"/>
        <v>1.0360989810771468</v>
      </c>
      <c r="AI18">
        <f t="shared" si="1"/>
        <v>1.1082066869300917</v>
      </c>
    </row>
    <row r="19" spans="1:35" ht="43.2" x14ac:dyDescent="0.3">
      <c r="A19" s="2">
        <v>2039</v>
      </c>
      <c r="B19" s="3">
        <v>108.02000000000001</v>
      </c>
      <c r="C19" s="3">
        <v>71.14</v>
      </c>
      <c r="D19" s="3">
        <v>103.55167394468705</v>
      </c>
      <c r="E19" s="3">
        <v>59.067244806695783</v>
      </c>
      <c r="F19" s="3">
        <v>103.55167394468705</v>
      </c>
      <c r="G19" s="9">
        <f>VietnamLaborProjection[[#This Row],[Non-labor-force residual (mn)]]/$H$5*100</f>
        <v>112.09726443769003</v>
      </c>
      <c r="H19" s="3">
        <f>VietnamLaborProjection[[#This Row],[Total population (mn)]]-VietnamLaborProjection[[#This Row],[Working-age population 15-64 (mn)]]</f>
        <v>36.88000000000001</v>
      </c>
      <c r="I19" s="4">
        <f>VietnamLaborProjection[[#This Row],[Non-labor-force residual (mn)]]/VietnamLaborProjection[[#This Row],[Total population (mn)]]</f>
        <v>0.34141825587854108</v>
      </c>
      <c r="J19" s="4">
        <v>0.83029582241630284</v>
      </c>
      <c r="K19" s="5" t="s">
        <v>12</v>
      </c>
      <c r="AG19">
        <v>2039</v>
      </c>
      <c r="AH19">
        <f t="shared" si="0"/>
        <v>1.0355167394468705</v>
      </c>
      <c r="AI19">
        <f t="shared" si="1"/>
        <v>1.1209726443769004</v>
      </c>
    </row>
    <row r="20" spans="1:35" ht="43.2" x14ac:dyDescent="0.3">
      <c r="A20" s="2">
        <v>2040</v>
      </c>
      <c r="B20" s="3">
        <v>108.4</v>
      </c>
      <c r="C20" s="3">
        <v>71.099999999999994</v>
      </c>
      <c r="D20" s="3">
        <v>103.49344978165938</v>
      </c>
      <c r="E20" s="3">
        <v>59.034032973799121</v>
      </c>
      <c r="F20" s="3">
        <v>103.49344978165938</v>
      </c>
      <c r="G20" s="9">
        <f>VietnamLaborProjection[[#This Row],[Non-labor-force residual (mn)]]/$H$5*100</f>
        <v>113.37386018237088</v>
      </c>
      <c r="H20" s="3">
        <f>VietnamLaborProjection[[#This Row],[Total population (mn)]]-VietnamLaborProjection[[#This Row],[Working-age population 15-64 (mn)]]</f>
        <v>37.300000000000011</v>
      </c>
      <c r="I20" s="4">
        <f>VietnamLaborProjection[[#This Row],[Non-labor-force residual (mn)]]/VietnamLaborProjection[[#This Row],[Total population (mn)]]</f>
        <v>0.34409594095940971</v>
      </c>
      <c r="J20" s="4">
        <v>0.83029582241630273</v>
      </c>
      <c r="K20" s="5" t="s">
        <v>12</v>
      </c>
      <c r="AG20">
        <v>2040</v>
      </c>
      <c r="AH20">
        <f t="shared" si="0"/>
        <v>1.0349344978165937</v>
      </c>
      <c r="AI20">
        <f t="shared" si="1"/>
        <v>1.1337386018237088</v>
      </c>
    </row>
    <row r="21" spans="1:35" ht="43.2" x14ac:dyDescent="0.3">
      <c r="A21" s="2">
        <v>2041</v>
      </c>
      <c r="B21" s="3">
        <v>108.66000000000001</v>
      </c>
      <c r="C21" s="3">
        <v>70.97999999999999</v>
      </c>
      <c r="D21" s="3">
        <v>103.31877729257639</v>
      </c>
      <c r="E21" s="3">
        <v>58.934397475109151</v>
      </c>
      <c r="F21" s="3">
        <v>103.31877729257639</v>
      </c>
      <c r="G21" s="9">
        <f>VietnamLaborProjection[[#This Row],[Non-labor-force residual (mn)]]/$H$5*100</f>
        <v>114.52887537993929</v>
      </c>
      <c r="H21" s="3">
        <f>VietnamLaborProjection[[#This Row],[Total population (mn)]]-VietnamLaborProjection[[#This Row],[Working-age population 15-64 (mn)]]</f>
        <v>37.680000000000021</v>
      </c>
      <c r="I21" s="4">
        <f>VietnamLaborProjection[[#This Row],[Non-labor-force residual (mn)]]/VietnamLaborProjection[[#This Row],[Total population (mn)]]</f>
        <v>0.34676974047487591</v>
      </c>
      <c r="J21" s="4">
        <v>0.83029582241630262</v>
      </c>
      <c r="K21" s="5" t="s">
        <v>12</v>
      </c>
      <c r="AG21">
        <v>2041</v>
      </c>
      <c r="AH21">
        <f t="shared" ref="AH21:AH30" si="2">F21/100</f>
        <v>1.0331877729257639</v>
      </c>
      <c r="AI21">
        <f t="shared" ref="AI21:AI30" si="3">G21/100</f>
        <v>1.145288753799393</v>
      </c>
    </row>
    <row r="22" spans="1:35" ht="43.2" x14ac:dyDescent="0.3">
      <c r="A22" s="2">
        <v>2042</v>
      </c>
      <c r="B22" s="3">
        <v>108.92</v>
      </c>
      <c r="C22" s="3">
        <v>70.86</v>
      </c>
      <c r="D22" s="3">
        <v>103.14410480349345</v>
      </c>
      <c r="E22" s="3">
        <v>58.834761976419216</v>
      </c>
      <c r="F22" s="3">
        <v>103.14410480349345</v>
      </c>
      <c r="G22" s="9">
        <f>VietnamLaborProjection[[#This Row],[Non-labor-force residual (mn)]]/$H$5*100</f>
        <v>115.68389057750763</v>
      </c>
      <c r="H22" s="3">
        <f>VietnamLaborProjection[[#This Row],[Total population (mn)]]-VietnamLaborProjection[[#This Row],[Working-age population 15-64 (mn)]]</f>
        <v>38.06</v>
      </c>
      <c r="I22" s="4">
        <f>VietnamLaborProjection[[#This Row],[Non-labor-force residual (mn)]]/VietnamLaborProjection[[#This Row],[Total population (mn)]]</f>
        <v>0.34943077488064639</v>
      </c>
      <c r="J22" s="4">
        <v>0.83029582241630284</v>
      </c>
      <c r="K22" s="5" t="s">
        <v>12</v>
      </c>
      <c r="M22" s="8" t="s">
        <v>13</v>
      </c>
      <c r="N22" s="8"/>
      <c r="O22" s="8"/>
      <c r="P22" s="8"/>
      <c r="Q22" s="8"/>
      <c r="R22" s="8"/>
      <c r="S22" s="8"/>
      <c r="T22" s="8"/>
      <c r="U22" s="8"/>
      <c r="AG22">
        <v>2042</v>
      </c>
      <c r="AH22">
        <f t="shared" si="2"/>
        <v>1.0314410480349345</v>
      </c>
      <c r="AI22">
        <f t="shared" si="3"/>
        <v>1.1568389057750763</v>
      </c>
    </row>
    <row r="23" spans="1:35" ht="43.2" x14ac:dyDescent="0.3">
      <c r="A23" s="2">
        <v>2043</v>
      </c>
      <c r="B23" s="3">
        <v>109.18</v>
      </c>
      <c r="C23" s="3">
        <v>70.739999999999995</v>
      </c>
      <c r="D23" s="3">
        <v>102.96943231441047</v>
      </c>
      <c r="E23" s="3">
        <v>58.735126477729246</v>
      </c>
      <c r="F23" s="3">
        <v>102.96943231441047</v>
      </c>
      <c r="G23" s="9">
        <f>VietnamLaborProjection[[#This Row],[Non-labor-force residual (mn)]]/$H$5*100</f>
        <v>116.83890577507606</v>
      </c>
      <c r="H23" s="3">
        <f>VietnamLaborProjection[[#This Row],[Total population (mn)]]-VietnamLaborProjection[[#This Row],[Working-age population 15-64 (mn)]]</f>
        <v>38.440000000000012</v>
      </c>
      <c r="I23" s="4">
        <f>VietnamLaborProjection[[#This Row],[Non-labor-force residual (mn)]]/VietnamLaborProjection[[#This Row],[Total population (mn)]]</f>
        <v>0.35207913537277896</v>
      </c>
      <c r="J23" s="4">
        <v>0.83029582241630262</v>
      </c>
      <c r="K23" s="5" t="s">
        <v>12</v>
      </c>
      <c r="M23" s="5" t="s">
        <v>14</v>
      </c>
      <c r="N23" s="5" t="s">
        <v>15</v>
      </c>
      <c r="AG23">
        <v>2043</v>
      </c>
      <c r="AH23">
        <f t="shared" si="2"/>
        <v>1.0296943231441047</v>
      </c>
      <c r="AI23">
        <f t="shared" si="3"/>
        <v>1.1683890577507605</v>
      </c>
    </row>
    <row r="24" spans="1:35" ht="43.2" x14ac:dyDescent="0.3">
      <c r="A24" s="2">
        <v>2044</v>
      </c>
      <c r="B24" s="3">
        <v>109.44</v>
      </c>
      <c r="C24" s="3">
        <v>70.62</v>
      </c>
      <c r="D24" s="3">
        <v>102.7947598253275</v>
      </c>
      <c r="E24" s="3">
        <v>58.635490979039297</v>
      </c>
      <c r="F24" s="3">
        <v>102.7947598253275</v>
      </c>
      <c r="G24" s="9">
        <f>VietnamLaborProjection[[#This Row],[Non-labor-force residual (mn)]]/$H$5*100</f>
        <v>117.99392097264439</v>
      </c>
      <c r="H24" s="3">
        <f>VietnamLaborProjection[[#This Row],[Total population (mn)]]-VietnamLaborProjection[[#This Row],[Working-age population 15-64 (mn)]]</f>
        <v>38.819999999999993</v>
      </c>
      <c r="I24" s="4">
        <f>VietnamLaborProjection[[#This Row],[Non-labor-force residual (mn)]]/VietnamLaborProjection[[#This Row],[Total population (mn)]]</f>
        <v>0.35471491228070168</v>
      </c>
      <c r="J24" s="4">
        <v>0.83029582241630262</v>
      </c>
      <c r="K24" s="5" t="s">
        <v>12</v>
      </c>
      <c r="M24" s="5" t="s">
        <v>16</v>
      </c>
      <c r="N24" s="5" t="s">
        <v>17</v>
      </c>
      <c r="AG24">
        <v>2044</v>
      </c>
      <c r="AH24">
        <f t="shared" si="2"/>
        <v>1.0279475982532751</v>
      </c>
      <c r="AI24">
        <f t="shared" si="3"/>
        <v>1.1799392097264438</v>
      </c>
    </row>
    <row r="25" spans="1:35" ht="43.2" x14ac:dyDescent="0.3">
      <c r="A25" s="2">
        <v>2045</v>
      </c>
      <c r="B25" s="3">
        <v>109.7</v>
      </c>
      <c r="C25" s="3">
        <v>70.5</v>
      </c>
      <c r="D25" s="3">
        <v>102.62008733624455</v>
      </c>
      <c r="E25" s="3">
        <v>58.535855480349348</v>
      </c>
      <c r="F25" s="3">
        <v>102.62008733624455</v>
      </c>
      <c r="G25" s="9">
        <f>VietnamLaborProjection[[#This Row],[Non-labor-force residual (mn)]]/$H$5*100</f>
        <v>119.14893617021281</v>
      </c>
      <c r="H25" s="3">
        <f>VietnamLaborProjection[[#This Row],[Total population (mn)]]-VietnamLaborProjection[[#This Row],[Working-age population 15-64 (mn)]]</f>
        <v>39.200000000000003</v>
      </c>
      <c r="I25" s="4">
        <f>VietnamLaborProjection[[#This Row],[Non-labor-force residual (mn)]]/VietnamLaborProjection[[#This Row],[Total population (mn)]]</f>
        <v>0.35733819507748404</v>
      </c>
      <c r="J25" s="4">
        <v>0.83029582241630284</v>
      </c>
      <c r="K25" s="5" t="s">
        <v>12</v>
      </c>
      <c r="M25" s="5" t="s">
        <v>18</v>
      </c>
      <c r="N25" s="5" t="s">
        <v>19</v>
      </c>
      <c r="AG25">
        <v>2045</v>
      </c>
      <c r="AH25">
        <f t="shared" si="2"/>
        <v>1.0262008733624455</v>
      </c>
      <c r="AI25">
        <f t="shared" si="3"/>
        <v>1.191489361702128</v>
      </c>
    </row>
    <row r="26" spans="1:35" ht="43.2" x14ac:dyDescent="0.3">
      <c r="A26" s="2">
        <v>2046</v>
      </c>
      <c r="B26" s="3">
        <v>109.76</v>
      </c>
      <c r="C26" s="3">
        <v>70.260000000000005</v>
      </c>
      <c r="D26" s="3">
        <v>102.27074235807861</v>
      </c>
      <c r="E26" s="3">
        <v>58.336584482969428</v>
      </c>
      <c r="F26" s="3">
        <v>102.27074235807861</v>
      </c>
      <c r="G26" s="9">
        <f>VietnamLaborProjection[[#This Row],[Non-labor-force residual (mn)]]/$H$5*100</f>
        <v>120.06079027355628</v>
      </c>
      <c r="H26" s="3">
        <f>VietnamLaborProjection[[#This Row],[Total population (mn)]]-VietnamLaborProjection[[#This Row],[Working-age population 15-64 (mn)]]</f>
        <v>39.5</v>
      </c>
      <c r="I26" s="4">
        <f>VietnamLaborProjection[[#This Row],[Non-labor-force residual (mn)]]/VietnamLaborProjection[[#This Row],[Total population (mn)]]</f>
        <v>0.35987609329446063</v>
      </c>
      <c r="J26" s="4">
        <v>0.83029582241630262</v>
      </c>
      <c r="K26" s="5" t="s">
        <v>12</v>
      </c>
      <c r="M26" s="5" t="s">
        <v>20</v>
      </c>
      <c r="N26" s="5" t="s">
        <v>21</v>
      </c>
      <c r="AG26">
        <v>2046</v>
      </c>
      <c r="AH26">
        <f t="shared" si="2"/>
        <v>1.022707423580786</v>
      </c>
      <c r="AI26">
        <f t="shared" si="3"/>
        <v>1.2006079027355627</v>
      </c>
    </row>
    <row r="27" spans="1:35" ht="43.2" x14ac:dyDescent="0.3">
      <c r="A27" s="2">
        <v>2047</v>
      </c>
      <c r="B27" s="3">
        <v>109.82000000000001</v>
      </c>
      <c r="C27" s="3">
        <v>70.02</v>
      </c>
      <c r="D27" s="3">
        <v>101.92139737991266</v>
      </c>
      <c r="E27" s="3">
        <v>58.137313485589523</v>
      </c>
      <c r="F27" s="3">
        <v>101.92139737991266</v>
      </c>
      <c r="G27" s="9">
        <f>VietnamLaborProjection[[#This Row],[Non-labor-force residual (mn)]]/$H$5*100</f>
        <v>120.97264437689977</v>
      </c>
      <c r="H27" s="3">
        <f>VietnamLaborProjection[[#This Row],[Total population (mn)]]-VietnamLaborProjection[[#This Row],[Working-age population 15-64 (mn)]]</f>
        <v>39.800000000000011</v>
      </c>
      <c r="I27" s="4">
        <f>VietnamLaborProjection[[#This Row],[Non-labor-force residual (mn)]]/VietnamLaborProjection[[#This Row],[Total population (mn)]]</f>
        <v>0.36241121835731205</v>
      </c>
      <c r="J27" s="4">
        <v>0.83029582241630284</v>
      </c>
      <c r="K27" s="5" t="s">
        <v>12</v>
      </c>
      <c r="AG27">
        <v>2047</v>
      </c>
      <c r="AH27">
        <f t="shared" si="2"/>
        <v>1.0192139737991266</v>
      </c>
      <c r="AI27">
        <f t="shared" si="3"/>
        <v>1.2097264437689976</v>
      </c>
    </row>
    <row r="28" spans="1:35" ht="43.2" x14ac:dyDescent="0.3">
      <c r="A28" s="2">
        <v>2048</v>
      </c>
      <c r="B28" s="3">
        <v>109.88</v>
      </c>
      <c r="C28" s="3">
        <v>69.78</v>
      </c>
      <c r="D28" s="3">
        <v>101.57205240174672</v>
      </c>
      <c r="E28" s="3">
        <v>57.938042488209604</v>
      </c>
      <c r="F28" s="3">
        <v>101.57205240174672</v>
      </c>
      <c r="G28" s="9">
        <f>VietnamLaborProjection[[#This Row],[Non-labor-force residual (mn)]]/$H$5*100</f>
        <v>121.88449848024318</v>
      </c>
      <c r="H28" s="3">
        <f>VietnamLaborProjection[[#This Row],[Total population (mn)]]-VietnamLaborProjection[[#This Row],[Working-age population 15-64 (mn)]]</f>
        <v>40.099999999999994</v>
      </c>
      <c r="I28" s="4">
        <f>VietnamLaborProjection[[#This Row],[Non-labor-force residual (mn)]]/VietnamLaborProjection[[#This Row],[Total population (mn)]]</f>
        <v>0.3649435748088824</v>
      </c>
      <c r="J28" s="4">
        <v>0.83029582241630273</v>
      </c>
      <c r="K28" s="5" t="s">
        <v>12</v>
      </c>
      <c r="AG28">
        <v>2048</v>
      </c>
      <c r="AH28">
        <f t="shared" si="2"/>
        <v>1.0157205240174672</v>
      </c>
      <c r="AI28">
        <f t="shared" si="3"/>
        <v>1.2188449848024319</v>
      </c>
    </row>
    <row r="29" spans="1:35" ht="43.2" x14ac:dyDescent="0.3">
      <c r="A29" s="2">
        <v>2049</v>
      </c>
      <c r="B29" s="3">
        <v>109.94</v>
      </c>
      <c r="C29" s="3">
        <v>69.539999999999992</v>
      </c>
      <c r="D29" s="3">
        <v>101.22270742358077</v>
      </c>
      <c r="E29" s="3">
        <v>57.738771490829684</v>
      </c>
      <c r="F29" s="3">
        <v>101.22270742358077</v>
      </c>
      <c r="G29" s="9">
        <f>VietnamLaborProjection[[#This Row],[Non-labor-force residual (mn)]]/$H$5*100</f>
        <v>122.79635258358668</v>
      </c>
      <c r="H29" s="3">
        <f>VietnamLaborProjection[[#This Row],[Total population (mn)]]-VietnamLaborProjection[[#This Row],[Working-age population 15-64 (mn)]]</f>
        <v>40.400000000000006</v>
      </c>
      <c r="I29" s="4">
        <f>VietnamLaborProjection[[#This Row],[Non-labor-force residual (mn)]]/VietnamLaborProjection[[#This Row],[Total population (mn)]]</f>
        <v>0.36747316718209938</v>
      </c>
      <c r="J29" s="4">
        <v>0.83029582241630273</v>
      </c>
      <c r="K29" s="5" t="s">
        <v>12</v>
      </c>
      <c r="AG29">
        <v>2049</v>
      </c>
      <c r="AH29">
        <f t="shared" si="2"/>
        <v>1.0122270742358077</v>
      </c>
      <c r="AI29">
        <f t="shared" si="3"/>
        <v>1.2279635258358668</v>
      </c>
    </row>
    <row r="30" spans="1:35" ht="43.2" x14ac:dyDescent="0.3">
      <c r="A30" s="2">
        <v>2050</v>
      </c>
      <c r="B30" s="3">
        <v>110</v>
      </c>
      <c r="C30" s="3">
        <v>69.3</v>
      </c>
      <c r="D30" s="3">
        <v>100.87336244541486</v>
      </c>
      <c r="E30" s="3">
        <v>57.539500493449786</v>
      </c>
      <c r="F30" s="3">
        <v>100.87336244541486</v>
      </c>
      <c r="G30" s="9">
        <f>VietnamLaborProjection[[#This Row],[Non-labor-force residual (mn)]]/$H$5*100</f>
        <v>123.70820668693013</v>
      </c>
      <c r="H30" s="3">
        <f>VietnamLaborProjection[[#This Row],[Total population (mn)]]-VietnamLaborProjection[[#This Row],[Working-age population 15-64 (mn)]]</f>
        <v>40.700000000000003</v>
      </c>
      <c r="I30" s="4">
        <f>VietnamLaborProjection[[#This Row],[Non-labor-force residual (mn)]]/VietnamLaborProjection[[#This Row],[Total population (mn)]]</f>
        <v>0.37000000000000005</v>
      </c>
      <c r="J30" s="4">
        <v>0.83029582241630284</v>
      </c>
      <c r="K30" s="5" t="s">
        <v>12</v>
      </c>
      <c r="AG30">
        <v>2050</v>
      </c>
      <c r="AH30">
        <f t="shared" si="2"/>
        <v>1.0087336244541485</v>
      </c>
      <c r="AI30">
        <f t="shared" si="3"/>
        <v>1.2370820668693012</v>
      </c>
    </row>
  </sheetData>
  <mergeCells count="3">
    <mergeCell ref="A1:K1"/>
    <mergeCell ref="A2:K2"/>
    <mergeCell ref="M22:U2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F1"/>
    </sheetView>
  </sheetViews>
  <sheetFormatPr defaultRowHeight="14.4" x14ac:dyDescent="0.3"/>
  <cols>
    <col min="1" max="1" width="24" customWidth="1"/>
    <col min="2" max="2" width="58" customWidth="1"/>
    <col min="3" max="3" width="16" customWidth="1"/>
    <col min="4" max="4" width="64" customWidth="1"/>
    <col min="5" max="5" width="28" customWidth="1"/>
    <col min="6" max="6" width="54" customWidth="1"/>
  </cols>
  <sheetData>
    <row r="1" spans="1:6" ht="18" x14ac:dyDescent="0.3">
      <c r="A1" s="6" t="s">
        <v>22</v>
      </c>
      <c r="B1" s="6"/>
      <c r="C1" s="6"/>
      <c r="D1" s="6"/>
      <c r="E1" s="6"/>
      <c r="F1" s="6"/>
    </row>
    <row r="3" spans="1:6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ht="28.8" x14ac:dyDescent="0.3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</row>
    <row r="5" spans="1:6" ht="28.8" x14ac:dyDescent="0.3">
      <c r="A5" s="5" t="s">
        <v>35</v>
      </c>
      <c r="B5" s="5" t="s">
        <v>36</v>
      </c>
      <c r="C5" s="5" t="s">
        <v>31</v>
      </c>
      <c r="D5" s="5" t="s">
        <v>37</v>
      </c>
      <c r="E5" s="5" t="s">
        <v>38</v>
      </c>
      <c r="F5" s="5" t="s">
        <v>39</v>
      </c>
    </row>
    <row r="6" spans="1:6" ht="28.8" x14ac:dyDescent="0.3">
      <c r="A6" s="5" t="s">
        <v>40</v>
      </c>
      <c r="B6" s="5" t="s">
        <v>41</v>
      </c>
      <c r="C6" s="5" t="s">
        <v>31</v>
      </c>
      <c r="D6" s="5" t="s">
        <v>42</v>
      </c>
      <c r="E6" s="5" t="s">
        <v>43</v>
      </c>
      <c r="F6" s="5" t="s">
        <v>44</v>
      </c>
    </row>
    <row r="7" spans="1:6" ht="28.8" x14ac:dyDescent="0.3">
      <c r="A7" s="5" t="s">
        <v>45</v>
      </c>
      <c r="B7" s="5" t="s">
        <v>46</v>
      </c>
      <c r="C7" s="5" t="s">
        <v>31</v>
      </c>
      <c r="D7" s="5" t="s">
        <v>47</v>
      </c>
      <c r="E7" s="5" t="s">
        <v>48</v>
      </c>
      <c r="F7" s="5" t="s">
        <v>49</v>
      </c>
    </row>
    <row r="8" spans="1:6" ht="28.8" x14ac:dyDescent="0.3">
      <c r="A8" s="5" t="s">
        <v>18</v>
      </c>
      <c r="B8" s="5" t="s">
        <v>50</v>
      </c>
      <c r="C8" s="5" t="s">
        <v>31</v>
      </c>
      <c r="D8" s="5" t="s">
        <v>51</v>
      </c>
      <c r="E8" s="5" t="s">
        <v>52</v>
      </c>
      <c r="F8" s="5" t="s">
        <v>53</v>
      </c>
    </row>
    <row r="9" spans="1:6" ht="28.8" x14ac:dyDescent="0.3">
      <c r="A9" s="5" t="s">
        <v>20</v>
      </c>
      <c r="B9" s="5" t="s">
        <v>54</v>
      </c>
      <c r="C9" s="5" t="s">
        <v>55</v>
      </c>
      <c r="D9" s="5" t="s">
        <v>51</v>
      </c>
      <c r="E9" s="5" t="s">
        <v>52</v>
      </c>
      <c r="F9" s="5" t="s">
        <v>56</v>
      </c>
    </row>
    <row r="10" spans="1:6" ht="28.8" x14ac:dyDescent="0.3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5"/>
      <c r="B12" s="5"/>
      <c r="C12" s="5"/>
      <c r="D12" s="5"/>
      <c r="E12" s="5"/>
      <c r="F12" s="5"/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5"/>
      <c r="B15" s="5"/>
      <c r="C15" s="5"/>
      <c r="D15" s="5"/>
      <c r="E15" s="5"/>
      <c r="F15" s="5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  <row r="18" spans="1:6" x14ac:dyDescent="0.3">
      <c r="A18" s="5"/>
      <c r="B18" s="5"/>
      <c r="C18" s="5"/>
      <c r="D18" s="5"/>
      <c r="E18" s="5"/>
      <c r="F18" s="5"/>
    </row>
    <row r="19" spans="1:6" x14ac:dyDescent="0.3">
      <c r="A19" s="5"/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Sources_Assumptions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 Schult</cp:lastModifiedBy>
  <dcterms:modified xsi:type="dcterms:W3CDTF">2026-06-08T01:03:09Z</dcterms:modified>
</cp:coreProperties>
</file>