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gizonline.sharepoint.com/sites/VNMMacroeconomicModellingGIZIWHGWSwithguests/Freigegebene Dokumente/General/Project Reports/"/>
    </mc:Choice>
  </mc:AlternateContent>
  <xr:revisionPtr revIDLastSave="0" documentId="8_{0A7AAD06-EC01-49E5-904E-266377B874D0}" xr6:coauthVersionLast="47" xr6:coauthVersionMax="47" xr10:uidLastSave="{00000000-0000-0000-0000-000000000000}"/>
  <bookViews>
    <workbookView xWindow="-110" yWindow="-110" windowWidth="19420" windowHeight="10300" tabRatio="500" xr2:uid="{00000000-000D-0000-FFFF-FFFF00000000}"/>
  </bookViews>
  <sheets>
    <sheet name="Assumptions" sheetId="1" r:id="rId1"/>
    <sheet name="WACF Breakdown" sheetId="2" r:id="rId2"/>
    <sheet name="Summary Dashboard"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0" i="3" l="1"/>
  <c r="B4" i="3"/>
  <c r="B16" i="1"/>
  <c r="B15" i="1"/>
  <c r="C11" i="3"/>
  <c r="D9" i="3"/>
  <c r="C9" i="3"/>
  <c r="B9" i="3"/>
  <c r="D8" i="3"/>
  <c r="C8" i="3"/>
  <c r="B8" i="3"/>
  <c r="D7" i="3"/>
  <c r="C7" i="3"/>
  <c r="B7" i="3"/>
  <c r="D6" i="3"/>
  <c r="C6" i="3"/>
  <c r="B6" i="3"/>
  <c r="D5" i="3"/>
  <c r="C5" i="3"/>
  <c r="B5" i="3"/>
  <c r="N12" i="2"/>
  <c r="L11" i="2"/>
  <c r="K11" i="2"/>
  <c r="J11" i="2"/>
  <c r="H11" i="2"/>
  <c r="G11" i="2"/>
  <c r="F11" i="2"/>
  <c r="D11" i="2"/>
  <c r="C11" i="2"/>
  <c r="B11" i="2"/>
  <c r="L10" i="2"/>
  <c r="K10" i="2"/>
  <c r="J10" i="2"/>
  <c r="H10" i="2"/>
  <c r="G10" i="2"/>
  <c r="F10" i="2"/>
  <c r="D10" i="2"/>
  <c r="C10" i="2"/>
  <c r="B10" i="2"/>
  <c r="L9" i="2"/>
  <c r="K9" i="2"/>
  <c r="J9" i="2"/>
  <c r="H9" i="2"/>
  <c r="G9" i="2"/>
  <c r="F9" i="2"/>
  <c r="D9" i="2"/>
  <c r="C9" i="2"/>
  <c r="B9" i="2"/>
  <c r="L8" i="2"/>
  <c r="K8" i="2"/>
  <c r="J8" i="2"/>
  <c r="H8" i="2"/>
  <c r="G8" i="2"/>
  <c r="F8" i="2"/>
  <c r="D8" i="2"/>
  <c r="C8" i="2"/>
  <c r="B8" i="2"/>
  <c r="L7" i="2"/>
  <c r="K7" i="2"/>
  <c r="J7" i="2"/>
  <c r="H7" i="2"/>
  <c r="G7" i="2"/>
  <c r="F7" i="2"/>
  <c r="D7" i="2"/>
  <c r="C7" i="2"/>
  <c r="B7" i="2"/>
  <c r="L6" i="2"/>
  <c r="K6" i="2"/>
  <c r="J6" i="2"/>
  <c r="H6" i="2"/>
  <c r="G6" i="2"/>
  <c r="F6" i="2"/>
  <c r="D6" i="2"/>
  <c r="C6" i="2"/>
  <c r="B6" i="2"/>
  <c r="L5" i="2"/>
  <c r="K5" i="2"/>
  <c r="J5" i="2"/>
  <c r="H5" i="2"/>
  <c r="G5" i="2"/>
  <c r="F5" i="2"/>
  <c r="D5" i="2"/>
  <c r="C5" i="2"/>
  <c r="B5" i="2"/>
  <c r="D15" i="1"/>
  <c r="D4" i="3" s="1"/>
  <c r="C15" i="1"/>
  <c r="C16" i="1" s="1"/>
  <c r="C10" i="3" s="1"/>
  <c r="N6" i="2"/>
  <c r="D14" i="1"/>
  <c r="D12" i="2" s="1"/>
  <c r="C14" i="1"/>
  <c r="C12" i="2" s="1"/>
  <c r="B14" i="1"/>
  <c r="B12" i="2" s="1"/>
  <c r="N11" i="2" l="1"/>
  <c r="N5" i="2"/>
  <c r="N8" i="2"/>
  <c r="J12" i="2"/>
  <c r="N9" i="2"/>
  <c r="K12" i="2"/>
  <c r="L12" i="2"/>
  <c r="C4" i="3"/>
  <c r="D16" i="1"/>
  <c r="N10" i="2"/>
  <c r="N7" i="2"/>
  <c r="B11" i="3" l="1"/>
  <c r="D11" i="3"/>
  <c r="D1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tc={043323A7-5725-4C54-80D2-CFB3533FEC05}</author>
    <author>tc={84EF842F-3AFE-4FE7-BF40-EC7B2E645E51}</author>
    <author>tc={EE36089B-9811-450C-B583-528439DDFB0B}</author>
    <author>tc={C66E4385-61A7-49B2-A506-7B6A99310800}</author>
  </authors>
  <commentList>
    <comment ref="B3" authorId="0" shapeId="0" xr:uid="{043323A7-5725-4C54-80D2-CFB3533FEC05}">
      <text>
        <t>[Threaded comment]
Your version of Excel allows you to read this threaded comment; however, any edits to it will get removed if the file is opened in a newer version of Excel. Learn more: https://go.microsoft.com/fwlink/?linkid=870924
Comment:
    Based on the Investment Needs Assessment. 
For further calculations, should we use revised PDP8 high as this is our baseline scenario?</t>
      </text>
    </comment>
    <comment ref="B6" authorId="1" shapeId="0" xr:uid="{84EF842F-3AFE-4FE7-BF40-EC7B2E645E51}">
      <text>
        <t xml:space="preserve">[Threaded comment]
Your version of Excel allows you to read this threaded comment; however, any edits to it will get removed if the file is opened in a newer version of Excel. Learn more: https://go.microsoft.com/fwlink/?linkid=870924
Comment:
    Can meaningful conclusions still be drawn on the effects of individual instruments, i.e. can the impact of specific changes be isolated? At first glance, this seems difficult, as the scenarios differ not only by one single instrument, but by simultaneous adjustments across several instruments. </t>
      </text>
    </comment>
    <comment ref="D6" authorId="2" shapeId="0" xr:uid="{EE36089B-9811-450C-B583-528439DDFB0B}">
      <text>
        <t xml:space="preserve">[Threaded comment]
Your version of Excel allows you to read this threaded comment; however, any edits to it will get removed if the file is opened in a newer version of Excel. Learn more: https://go.microsoft.com/fwlink/?linkid=870924
Comment:
    How can we make the causal structure transparent? For example, in the Public-led scenario, which changes are exogenous policy inputs (e.g. more concessional finance, more blended finance), and which are already endogenous outcomes resulting from these inputs (e.g. lower bank lending rates, increased private participation)? Could this create a risk of double-counting effects? </t>
      </text>
    </comment>
    <comment ref="A9" authorId="3" shapeId="0" xr:uid="{C66E4385-61A7-49B2-A506-7B6A99310800}">
      <text>
        <t xml:space="preserve">[Threaded comment]
Your version of Excel allows you to read this threaded comment; however, any edits to it will get removed if the file is opened in a newer version of Excel. Learn more: https://go.microsoft.com/fwlink/?linkid=870924
Comment:
    So this includes both domestic and multilateral/ bilateral capital?
Reply:
    So this includes guarantees as well?
Reply:
    A 1:4 leverage ratio for blended finance is assumed. Does this leverage effect apply independently of the type of public finance involved (e.g. concessional lending, guarantees, grants), or could differentiated leverage assumptions be introduced? Would this unnecessarily complicate the model? </t>
      </text>
    </comment>
  </commentList>
</comments>
</file>

<file path=xl/sharedStrings.xml><?xml version="1.0" encoding="utf-8"?>
<sst xmlns="http://schemas.openxmlformats.org/spreadsheetml/2006/main" count="77" uniqueCount="63">
  <si>
    <r>
      <t xml:space="preserve">Vietnam Energy Transition — Green Finance Scenario Model 
</t>
    </r>
    <r>
      <rPr>
        <b/>
        <i/>
        <sz val="13"/>
        <color rgb="FFFFFFFF"/>
        <rFont val="Arial"/>
        <family val="2"/>
      </rPr>
      <t>Prepared by Huyen Nguyen, KCL</t>
    </r>
  </si>
  <si>
    <t>Blue = editable inputs  |  Black = formulas  |  Shares &amp; rates grouped side-by-side per instrument  |  Blended finance split: public sub-tranche + private sub-tranche</t>
  </si>
  <si>
    <t>Revised PDP8 Total Investment Need (USD bn between 2026 and 2030)</t>
  </si>
  <si>
    <t xml:space="preserve">Source: Vietnam PDP8, MoIT </t>
  </si>
  <si>
    <t>INSTRUMENT ALLOCATION SHARES &amp; INTEREST RATES BY SCENARIO</t>
  </si>
  <si>
    <t>ALLOCATION SHARE  (%)</t>
  </si>
  <si>
    <t>INTEREST RATE  (% p.a.)</t>
  </si>
  <si>
    <t>Instrument</t>
  </si>
  <si>
    <t>A
Balanced</t>
  </si>
  <si>
    <t>B
Market-led</t>
  </si>
  <si>
    <t>C
Public-led</t>
  </si>
  <si>
    <t>Rationale</t>
  </si>
  <si>
    <t>ODA / Bilateral concessional
(JICA, KfW, AFD, etc)</t>
  </si>
  <si>
    <t>ODA pricing is bilaterally negotiated. Lower in C (1%) as larger volumes attract better terms. https://www.jica.go.jp/english/information/press/2025/20260331_11.html. Not to be confused with the concessional loans as tranches in the blended finance. At the moment, the traditional concessional loan is more popular than blended finance but blended finance has the potential to scale up.</t>
  </si>
  <si>
    <t>MDB concessional
(ADB OCR / WB IBRD / IDA)</t>
  </si>
  <si>
    <t>Formula-based pricing (IBRD ~1%). 0.9% in C reflects scale-up benefit. Original 1.0% broadly correct.</t>
  </si>
  <si>
    <t>Blended finance — PUBLIC sub-tranche
   GCF grant / first-loss; DFI junior equity</t>
  </si>
  <si>
    <t>Convergence Report shows that Blended Finance is usually 1$ in concessional loans or public sourced loans is expected to rase 4$ in private funding. Public first-loss tranche (GCF, DFI subordinated) costs 0–1.5%.  https://www.convergence.finance/resource/state-of-blended-finance-2025/view</t>
  </si>
  <si>
    <t>Blended finance — PRIVATE sub-tranche
   Credit-enhanced commercial co-investors</t>
  </si>
  <si>
    <t>Private co-investors enter at ~6–7% (below unblended ~8%) because public first-loss absorbs tail risk. Rate slightly higher in B (less public support). Blended portfolio avg ≈ (1%×50% + 6%×50%) = 3.5%.</t>
  </si>
  <si>
    <t>Green bonds — Sovereign / Quasi-Sovereign</t>
  </si>
  <si>
    <t>Currently VN 10Y yield (~4.36% Apr 2026 ). B = 4.3% (market pricing, no subsidy); C = 3.6% (heavy public issuance + SBV implicit support). https://www.reuters.com/world/asia-pacific/vietnam-ramps-up-bond-sales-spending-export-led-growth-faces-tariff-risks-2025-04-25/
https://www.worldgovernmentbonds.com/bond-historical-data/vietnam/10-years/</t>
  </si>
  <si>
    <t xml:space="preserve">Green bonds — Corporate
</t>
  </si>
  <si>
    <t>https://www.worldgovernmentbonds.com/bond-historical-data/vietnam/10-years/</t>
  </si>
  <si>
    <t xml:space="preserve">Green credit — Commercial banks
</t>
  </si>
  <si>
    <t>B = 8% (banks dominant, less pressure for banks to lower interest rates, can revise this number with the 2% subsidy programme); C = 7.0% (SBV refinancing lines, corporations have bond alternative → banks have less demand and thus rates decline). https://www.sbv.gov.vn/en/web/sbv_portal/w/developments-of-interest-rates-applied-by-credit-institutions-may-2025-</t>
  </si>
  <si>
    <t>Total Share (must = 100%)</t>
  </si>
  <si>
    <t>Weighted Avg Cost of Finance (WACF)</t>
  </si>
  <si>
    <t>WACF = Σ(Share × Rate) per scenario. Yellow = key output.</t>
  </si>
  <si>
    <t>Annual financing cost on PDP8 $136bn (USD bn)</t>
  </si>
  <si>
    <t xml:space="preserve">HOW BLENDED FINANCE WORKS </t>
  </si>
  <si>
    <t>STRUCTURE</t>
  </si>
  <si>
    <t>Blended finance stacks two tranches: (1) PUBLIC first-loss/grant/concessional (GCF, DFIs, JETP partners) absorbs losses → allows (2) PRIVATE commercial investors to enter at reduced risk, typically at 5.5–7%.</t>
  </si>
  <si>
    <t>JETP CONTEXT</t>
  </si>
  <si>
    <t>Vietnam's JETP RMP (Nov 2022, $15.5bn) uses this structure. GCF/bilateral grants + DFI subordinated debt + commercial co-financing. Reported blended portfolio rates: 4.5–6%, consistent with this model.</t>
  </si>
  <si>
    <t>Weighted Cost Breakdown — Shares × Rates by Instrument &amp; Scenario</t>
  </si>
  <si>
    <t>Green = live links from Assumptions tab  |  Black = calculated here  |  Yellow = WACF totals</t>
  </si>
  <si>
    <t>ALLOCATION SHARE (%)</t>
  </si>
  <si>
    <t>INTEREST RATE (% p.a.)</t>
  </si>
  <si>
    <t>WEIGHTED COST = Share × Rate</t>
  </si>
  <si>
    <t>Wtd A</t>
  </si>
  <si>
    <t>Wtd B</t>
  </si>
  <si>
    <t>Wtd C</t>
  </si>
  <si>
    <t>% of WACF
(Scenario A)</t>
  </si>
  <si>
    <t>ODA / Bilateral concessional
(JICA, KfW, AFD)</t>
  </si>
  <si>
    <t>Green bonds — Corporate
(BIDV/VCB, ICMA-verified)</t>
  </si>
  <si>
    <t>Green credit — Commercial banks
(SBV green credit lines)</t>
  </si>
  <si>
    <t>WACF (Total)</t>
  </si>
  <si>
    <t>Scenario Comparison — Summary Dashboard</t>
  </si>
  <si>
    <t>All values live-linked from Assumptions sheet.</t>
  </si>
  <si>
    <t>Metric</t>
  </si>
  <si>
    <t>Scenario A
Balanced</t>
  </si>
  <si>
    <t>Scenario B
Market-led</t>
  </si>
  <si>
    <t>Scenario C
Public-led</t>
  </si>
  <si>
    <t>Comments</t>
  </si>
  <si>
    <t>WACF</t>
  </si>
  <si>
    <t>Green bond share (sov + corp)</t>
  </si>
  <si>
    <t>Bank credit share</t>
  </si>
  <si>
    <t>Concessional + blended share</t>
  </si>
  <si>
    <t>Sovereign bond rate</t>
  </si>
  <si>
    <t>Bank lending rate</t>
  </si>
  <si>
    <t>Annual financing cost on $136bn (USD bn)</t>
  </si>
  <si>
    <t>Annual saving vs Scenario B (USD 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</si>
</sst>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00%\);\-"/>
    <numFmt numFmtId="166" formatCode="\$#,##0.0;&quot;($&quot;#,##0.0\);\-"/>
  </numFmts>
  <fonts count="24">
    <font>
      <sz val="11"/>
      <color theme="1"/>
      <name val="Calibri"/>
      <family val="2"/>
      <charset val="1"/>
    </font>
    <font>
      <b/>
      <sz val="13"/>
      <color rgb="FFFFFFFF"/>
      <name val="Arial"/>
      <charset val="1"/>
    </font>
    <font>
      <i/>
      <sz val="9"/>
      <color rgb="FF595959"/>
      <name val="Arial"/>
      <charset val="1"/>
    </font>
    <font>
      <b/>
      <sz val="10"/>
      <color rgb="FF000000"/>
      <name val="Arial"/>
      <charset val="1"/>
    </font>
    <font>
      <sz val="10"/>
      <color rgb="FF0000FF"/>
      <name val="Arial"/>
      <charset val="1"/>
    </font>
    <font>
      <sz val="9"/>
      <color rgb="FF595959"/>
      <name val="Arial"/>
      <charset val="1"/>
    </font>
    <font>
      <b/>
      <sz val="10"/>
      <color rgb="FFFFFFFF"/>
      <name val="Arial"/>
      <charset val="1"/>
    </font>
    <font>
      <b/>
      <sz val="9"/>
      <color rgb="FFFFFFFF"/>
      <name val="Arial"/>
      <charset val="1"/>
    </font>
    <font>
      <sz val="9"/>
      <color rgb="FF000000"/>
      <name val="Arial"/>
      <charset val="1"/>
    </font>
    <font>
      <i/>
      <sz val="8"/>
      <color rgb="FF404040"/>
      <name val="Arial"/>
      <charset val="1"/>
    </font>
    <font>
      <i/>
      <sz val="8"/>
      <color rgb="FF595959"/>
      <name val="Arial"/>
      <charset val="1"/>
    </font>
    <font>
      <sz val="10"/>
      <color rgb="FF000000"/>
      <name val="Arial"/>
      <charset val="1"/>
    </font>
    <font>
      <b/>
      <sz val="9"/>
      <color rgb="FF000000"/>
      <name val="Arial"/>
      <charset val="1"/>
    </font>
    <font>
      <sz val="9"/>
      <name val="Arial"/>
      <charset val="1"/>
    </font>
    <font>
      <b/>
      <sz val="12"/>
      <color rgb="FFFFFFFF"/>
      <name val="Arial"/>
      <charset val="1"/>
    </font>
    <font>
      <sz val="9"/>
      <color rgb="FF008000"/>
      <name val="Arial"/>
      <charset val="1"/>
    </font>
    <font>
      <sz val="10"/>
      <color rgb="FF008000"/>
      <name val="Arial"/>
      <charset val="1"/>
    </font>
    <font>
      <b/>
      <sz val="10"/>
      <color rgb="FF008000"/>
      <name val="Arial"/>
      <charset val="1"/>
    </font>
    <font>
      <b/>
      <sz val="10"/>
      <color rgb="FFFF0000"/>
      <name val="Arial"/>
      <family val="2"/>
    </font>
    <font>
      <b/>
      <sz val="13"/>
      <color rgb="FFFFFFFF"/>
      <name val="Arial"/>
      <family val="2"/>
    </font>
    <font>
      <sz val="9"/>
      <name val="Arial"/>
      <family val="2"/>
    </font>
    <font>
      <b/>
      <i/>
      <sz val="13"/>
      <color rgb="FFFFFFFF"/>
      <name val="Arial"/>
      <family val="2"/>
    </font>
    <font>
      <sz val="9"/>
      <color rgb="FF000000"/>
      <name val="Arial"/>
      <family val="2"/>
    </font>
    <font>
      <i/>
      <sz val="8"/>
      <color rgb="FF404040"/>
      <name val="Arial"/>
      <family val="2"/>
    </font>
  </fonts>
  <fills count="11">
    <fill>
      <patternFill patternType="none"/>
    </fill>
    <fill>
      <patternFill patternType="gray125"/>
    </fill>
    <fill>
      <patternFill patternType="solid">
        <fgColor rgb="FF1F3864"/>
        <bgColor rgb="FF333399"/>
      </patternFill>
    </fill>
    <fill>
      <patternFill patternType="solid">
        <fgColor rgb="FFDDEEFF"/>
        <bgColor rgb="FFEBF3FB"/>
      </patternFill>
    </fill>
    <fill>
      <patternFill patternType="solid">
        <fgColor rgb="FFD6E4F0"/>
        <bgColor rgb="FFD9E1F2"/>
      </patternFill>
    </fill>
    <fill>
      <patternFill patternType="solid">
        <fgColor rgb="FF2E75B6"/>
        <bgColor rgb="FF0066CC"/>
      </patternFill>
    </fill>
    <fill>
      <patternFill patternType="solid">
        <fgColor rgb="FFEBF3FB"/>
        <bgColor rgb="FFDDEEFF"/>
      </patternFill>
    </fill>
    <fill>
      <patternFill patternType="solid">
        <fgColor rgb="FFD9E1F2"/>
        <bgColor rgb="FFD6E4F0"/>
      </patternFill>
    </fill>
    <fill>
      <patternFill patternType="solid">
        <fgColor rgb="FFFFF2CC"/>
        <bgColor rgb="FFFCE4D6"/>
      </patternFill>
    </fill>
    <fill>
      <patternFill patternType="solid">
        <fgColor rgb="FFFFFF00"/>
        <bgColor rgb="FFFFFF00"/>
      </patternFill>
    </fill>
    <fill>
      <patternFill patternType="solid">
        <fgColor rgb="FF375623"/>
        <bgColor rgb="FF404040"/>
      </patternFill>
    </fill>
  </fills>
  <borders count="1">
    <border>
      <left/>
      <right/>
      <top/>
      <bottom/>
      <diagonal/>
    </border>
  </borders>
  <cellStyleXfs count="1">
    <xf numFmtId="0" fontId="0" fillId="0" borderId="0"/>
  </cellStyleXfs>
  <cellXfs count="66">
    <xf numFmtId="0" fontId="0" fillId="0" borderId="0" xfId="0"/>
    <xf numFmtId="0" fontId="3" fillId="0" borderId="0" xfId="0" applyFont="1" applyAlignment="1">
      <alignment horizontal="left" vertical="center"/>
    </xf>
    <xf numFmtId="3" fontId="4" fillId="3" borderId="0" xfId="0" applyNumberFormat="1" applyFont="1" applyFill="1" applyAlignment="1">
      <alignment horizontal="center" vertical="center"/>
    </xf>
    <xf numFmtId="0" fontId="5" fillId="0" borderId="0" xfId="0" applyFont="1" applyAlignment="1">
      <alignment horizontal="left" vertical="center"/>
    </xf>
    <xf numFmtId="0" fontId="7" fillId="2" borderId="0" xfId="0" applyFont="1" applyFill="1" applyAlignment="1">
      <alignment horizontal="center" vertical="center" wrapText="1"/>
    </xf>
    <xf numFmtId="0" fontId="6" fillId="5" borderId="0" xfId="0" applyFont="1" applyFill="1" applyAlignment="1">
      <alignment horizontal="center" vertical="center" wrapText="1"/>
    </xf>
    <xf numFmtId="0" fontId="6" fillId="2" borderId="0" xfId="0" applyFont="1" applyFill="1" applyAlignment="1">
      <alignment horizontal="center" vertical="center" wrapText="1"/>
    </xf>
    <xf numFmtId="164" fontId="4" fillId="3" borderId="0" xfId="0" applyNumberFormat="1" applyFont="1" applyFill="1" applyAlignment="1">
      <alignment horizontal="center" vertical="center"/>
    </xf>
    <xf numFmtId="165" fontId="4" fillId="3" borderId="0" xfId="0" applyNumberFormat="1" applyFont="1" applyFill="1" applyAlignment="1">
      <alignment horizontal="center" vertical="center"/>
    </xf>
    <xf numFmtId="0" fontId="9" fillId="0" borderId="0" xfId="0" applyFont="1" applyAlignment="1">
      <alignment vertical="top" wrapText="1"/>
    </xf>
    <xf numFmtId="0" fontId="8" fillId="6" borderId="0" xfId="0" applyFont="1" applyFill="1" applyAlignment="1">
      <alignment horizontal="left" vertical="center" wrapText="1"/>
    </xf>
    <xf numFmtId="164" fontId="4" fillId="6" borderId="0" xfId="0" applyNumberFormat="1" applyFont="1" applyFill="1" applyAlignment="1">
      <alignment horizontal="center" vertical="center"/>
    </xf>
    <xf numFmtId="165" fontId="4" fillId="6" borderId="0" xfId="0" applyNumberFormat="1" applyFont="1" applyFill="1" applyAlignment="1">
      <alignment horizontal="center" vertical="center"/>
    </xf>
    <xf numFmtId="0" fontId="9" fillId="6" borderId="0" xfId="0" applyFont="1" applyFill="1" applyAlignment="1">
      <alignment vertical="top" wrapText="1"/>
    </xf>
    <xf numFmtId="0" fontId="8" fillId="7" borderId="0" xfId="0" applyFont="1" applyFill="1" applyAlignment="1">
      <alignment horizontal="left" vertical="center" wrapText="1"/>
    </xf>
    <xf numFmtId="164" fontId="4" fillId="7" borderId="0" xfId="0" applyNumberFormat="1" applyFont="1" applyFill="1" applyAlignment="1">
      <alignment horizontal="center" vertical="center"/>
    </xf>
    <xf numFmtId="165" fontId="4" fillId="7" borderId="0" xfId="0" applyNumberFormat="1" applyFont="1" applyFill="1" applyAlignment="1">
      <alignment horizontal="center" vertical="center"/>
    </xf>
    <xf numFmtId="0" fontId="9" fillId="7" borderId="0" xfId="0" applyFont="1" applyFill="1" applyAlignment="1">
      <alignment vertical="top" wrapText="1"/>
    </xf>
    <xf numFmtId="0" fontId="8" fillId="8" borderId="0" xfId="0" applyFont="1" applyFill="1" applyAlignment="1">
      <alignment horizontal="left" vertical="center" wrapText="1"/>
    </xf>
    <xf numFmtId="164" fontId="4" fillId="8" borderId="0" xfId="0" applyNumberFormat="1" applyFont="1" applyFill="1" applyAlignment="1">
      <alignment horizontal="center" vertical="center"/>
    </xf>
    <xf numFmtId="165" fontId="4" fillId="8" borderId="0" xfId="0" applyNumberFormat="1" applyFont="1" applyFill="1" applyAlignment="1">
      <alignment horizontal="center" vertical="center"/>
    </xf>
    <xf numFmtId="0" fontId="9" fillId="8" borderId="0" xfId="0" applyFont="1" applyFill="1" applyAlignment="1">
      <alignment vertical="top" wrapText="1"/>
    </xf>
    <xf numFmtId="164" fontId="3" fillId="9" borderId="0" xfId="0" applyNumberFormat="1" applyFont="1" applyFill="1" applyAlignment="1">
      <alignment horizontal="center" vertical="center"/>
    </xf>
    <xf numFmtId="0" fontId="10" fillId="0" borderId="0" xfId="0" applyFont="1" applyAlignment="1">
      <alignment horizontal="left" vertical="center"/>
    </xf>
    <xf numFmtId="166" fontId="11" fillId="0" borderId="0" xfId="0" applyNumberFormat="1" applyFont="1" applyAlignment="1">
      <alignment horizontal="center" vertical="center"/>
    </xf>
    <xf numFmtId="0" fontId="12" fillId="0" borderId="0" xfId="0" applyFont="1" applyAlignment="1">
      <alignment vertical="top" wrapText="1"/>
    </xf>
    <xf numFmtId="0" fontId="6" fillId="10" borderId="0" xfId="0" applyFont="1" applyFill="1" applyAlignment="1">
      <alignment horizontal="center" vertical="center" wrapText="1"/>
    </xf>
    <xf numFmtId="0" fontId="15" fillId="0" borderId="0" xfId="0" applyFont="1" applyAlignment="1">
      <alignment horizontal="left" vertical="center" wrapText="1"/>
    </xf>
    <xf numFmtId="164" fontId="16" fillId="0" borderId="0" xfId="0" applyNumberFormat="1" applyFont="1" applyAlignment="1">
      <alignment horizontal="center" vertical="center"/>
    </xf>
    <xf numFmtId="165" fontId="16" fillId="0" borderId="0" xfId="0" applyNumberFormat="1" applyFont="1" applyAlignment="1">
      <alignment horizontal="center" vertical="center"/>
    </xf>
    <xf numFmtId="165" fontId="11" fillId="0" borderId="0" xfId="0" applyNumberFormat="1" applyFont="1" applyAlignment="1">
      <alignment horizontal="center" vertical="center"/>
    </xf>
    <xf numFmtId="164" fontId="11" fillId="0" borderId="0" xfId="0" applyNumberFormat="1" applyFont="1" applyAlignment="1">
      <alignment horizontal="center" vertical="center"/>
    </xf>
    <xf numFmtId="164" fontId="16" fillId="6" borderId="0" xfId="0" applyNumberFormat="1" applyFont="1" applyFill="1" applyAlignment="1">
      <alignment horizontal="center" vertical="center"/>
    </xf>
    <xf numFmtId="165" fontId="16" fillId="6" borderId="0" xfId="0" applyNumberFormat="1" applyFont="1" applyFill="1" applyAlignment="1">
      <alignment horizontal="center" vertical="center"/>
    </xf>
    <xf numFmtId="165" fontId="11" fillId="6" borderId="0" xfId="0" applyNumberFormat="1" applyFont="1" applyFill="1" applyAlignment="1">
      <alignment horizontal="center" vertical="center"/>
    </xf>
    <xf numFmtId="164" fontId="11" fillId="6" borderId="0" xfId="0" applyNumberFormat="1" applyFont="1" applyFill="1" applyAlignment="1">
      <alignment horizontal="center" vertical="center"/>
    </xf>
    <xf numFmtId="164" fontId="16" fillId="7" borderId="0" xfId="0" applyNumberFormat="1" applyFont="1" applyFill="1" applyAlignment="1">
      <alignment horizontal="center" vertical="center"/>
    </xf>
    <xf numFmtId="165" fontId="16" fillId="7" borderId="0" xfId="0" applyNumberFormat="1" applyFont="1" applyFill="1" applyAlignment="1">
      <alignment horizontal="center" vertical="center"/>
    </xf>
    <xf numFmtId="165" fontId="11" fillId="7" borderId="0" xfId="0" applyNumberFormat="1" applyFont="1" applyFill="1" applyAlignment="1">
      <alignment horizontal="center" vertical="center"/>
    </xf>
    <xf numFmtId="164" fontId="11" fillId="7" borderId="0" xfId="0" applyNumberFormat="1" applyFont="1" applyFill="1" applyAlignment="1">
      <alignment horizontal="center" vertical="center"/>
    </xf>
    <xf numFmtId="164" fontId="16" fillId="8" borderId="0" xfId="0" applyNumberFormat="1" applyFont="1" applyFill="1" applyAlignment="1">
      <alignment horizontal="center" vertical="center"/>
    </xf>
    <xf numFmtId="165" fontId="16" fillId="8" borderId="0" xfId="0" applyNumberFormat="1" applyFont="1" applyFill="1" applyAlignment="1">
      <alignment horizontal="center" vertical="center"/>
    </xf>
    <xf numFmtId="165" fontId="11" fillId="8" borderId="0" xfId="0" applyNumberFormat="1" applyFont="1" applyFill="1" applyAlignment="1">
      <alignment horizontal="center" vertical="center"/>
    </xf>
    <xf numFmtId="164" fontId="11" fillId="8" borderId="0" xfId="0" applyNumberFormat="1" applyFont="1" applyFill="1" applyAlignment="1">
      <alignment horizontal="center" vertical="center"/>
    </xf>
    <xf numFmtId="164" fontId="17" fillId="9" borderId="0" xfId="0" applyNumberFormat="1" applyFont="1" applyFill="1" applyAlignment="1">
      <alignment horizontal="center" vertical="center"/>
    </xf>
    <xf numFmtId="165" fontId="17" fillId="9" borderId="0" xfId="0" applyNumberFormat="1" applyFont="1" applyFill="1" applyAlignment="1">
      <alignment horizontal="center" vertical="center"/>
    </xf>
    <xf numFmtId="164" fontId="3" fillId="9" borderId="0" xfId="0" applyNumberFormat="1" applyFont="1" applyFill="1" applyAlignment="1">
      <alignment horizontal="center"/>
    </xf>
    <xf numFmtId="0" fontId="3" fillId="6" borderId="0" xfId="0" applyFont="1" applyFill="1" applyAlignment="1">
      <alignment horizontal="left" vertical="center" wrapText="1"/>
    </xf>
    <xf numFmtId="0" fontId="0" fillId="6" borderId="0" xfId="0" applyFill="1"/>
    <xf numFmtId="0" fontId="3" fillId="0" borderId="0" xfId="0" applyFont="1" applyAlignment="1">
      <alignment horizontal="left" vertical="center" wrapText="1"/>
    </xf>
    <xf numFmtId="166" fontId="11" fillId="6" borderId="0" xfId="0" applyNumberFormat="1" applyFont="1" applyFill="1" applyAlignment="1">
      <alignment horizontal="center" vertical="center"/>
    </xf>
    <xf numFmtId="0" fontId="18" fillId="0" borderId="0" xfId="0" applyFont="1" applyAlignment="1">
      <alignment horizontal="left" vertical="center" wrapText="1"/>
    </xf>
    <xf numFmtId="165" fontId="18" fillId="9" borderId="0" xfId="0" applyNumberFormat="1" applyFont="1" applyFill="1" applyAlignment="1">
      <alignment horizontal="center" vertical="center"/>
    </xf>
    <xf numFmtId="0" fontId="22" fillId="0" borderId="0" xfId="0" applyFont="1" applyAlignment="1">
      <alignment horizontal="left" vertical="center" wrapText="1"/>
    </xf>
    <xf numFmtId="0" fontId="23" fillId="0" borderId="0" xfId="0" applyFont="1" applyAlignment="1">
      <alignment vertical="top" wrapText="1"/>
    </xf>
    <xf numFmtId="0" fontId="22" fillId="6" borderId="0" xfId="0" applyFont="1" applyFill="1" applyAlignment="1">
      <alignment horizontal="left" vertical="center" wrapText="1"/>
    </xf>
    <xf numFmtId="0" fontId="3" fillId="4" borderId="0" xfId="0" applyFont="1" applyFill="1" applyAlignment="1">
      <alignment horizontal="left" vertical="center"/>
    </xf>
    <xf numFmtId="0" fontId="13" fillId="0" borderId="0" xfId="0" applyFont="1" applyAlignment="1">
      <alignment vertical="top" wrapText="1"/>
    </xf>
    <xf numFmtId="0" fontId="20" fillId="0" borderId="0" xfId="0" applyFont="1" applyAlignment="1">
      <alignment vertical="top" wrapText="1"/>
    </xf>
    <xf numFmtId="0" fontId="19" fillId="2" borderId="0" xfId="0" applyFont="1" applyFill="1" applyAlignment="1">
      <alignment horizontal="center" vertical="center" wrapText="1"/>
    </xf>
    <xf numFmtId="0" fontId="1" fillId="2" borderId="0" xfId="0" applyFont="1" applyFill="1" applyAlignment="1">
      <alignment horizontal="center" vertical="center"/>
    </xf>
    <xf numFmtId="0" fontId="2" fillId="0" borderId="0" xfId="0" applyFont="1" applyAlignment="1">
      <alignment horizontal="center"/>
    </xf>
    <xf numFmtId="0" fontId="6" fillId="5" borderId="0" xfId="0" applyFont="1" applyFill="1" applyAlignment="1">
      <alignment horizontal="center" vertical="center"/>
    </xf>
    <xf numFmtId="0" fontId="6" fillId="2" borderId="0" xfId="0" applyFont="1" applyFill="1" applyAlignment="1">
      <alignment horizontal="center" vertical="center"/>
    </xf>
    <xf numFmtId="0" fontId="14" fillId="2" borderId="0" xfId="0" applyFont="1" applyFill="1" applyAlignment="1">
      <alignment horizontal="center" vertical="center"/>
    </xf>
    <xf numFmtId="0" fontId="6" fillId="10"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6E4F0"/>
      <rgbColor rgb="FF808080"/>
      <rgbColor rgb="FF9999FF"/>
      <rgbColor rgb="FF993366"/>
      <rgbColor rgb="FFFFF2CC"/>
      <rgbColor rgb="FFDDEE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BF3FB"/>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1F3864"/>
      <rgbColor rgb="FF339966"/>
      <rgbColor rgb="FF003300"/>
      <rgbColor rgb="FF375623"/>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TCF (GIZ)" id="{0AE273C3-1AF6-48B0-9AE5-D6490144D019}" userId="TCF (GIZ)" providerId="None"/>
  <person displayName="Tietz, Carolin" id="{45D97875-6B8B-4148-B320-5D611AE673FF}" userId="Tietz, Carolin" providerId="None"/>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 dT="2026-05-12T06:48:26.86" personId="{45D97875-6B8B-4148-B320-5D611AE673FF}" id="{043323A7-5725-4C54-80D2-CFB3533FEC05}">
    <text>Based on the Investment Needs Assessment. 
For further calculations, should we use revised PDP8 high as this is our baseline scenario?</text>
  </threadedComment>
  <threadedComment ref="B6" dT="2026-05-22T10:10:19.21" personId="{0AE273C3-1AF6-48B0-9AE5-D6490144D019}" id="{84EF842F-3AFE-4FE7-BF40-EC7B2E645E51}">
    <text xml:space="preserve">Can meaningful conclusions still be drawn on the effects of individual instruments, i.e. can the impact of specific changes be isolated? At first glance, this seems difficult, as the scenarios differ not only by one single instrument, but by simultaneous adjustments across several instruments. </text>
  </threadedComment>
  <threadedComment ref="D6" dT="2026-05-22T10:10:42.79" personId="{0AE273C3-1AF6-48B0-9AE5-D6490144D019}" id="{EE36089B-9811-450C-B583-528439DDFB0B}">
    <text xml:space="preserve">How can we make the causal structure transparent? For example, in the Public-led scenario, which changes are exogenous policy inputs (e.g. more concessional finance, more blended finance), and which are already endogenous outcomes resulting from these inputs (e.g. lower bank lending rates, increased private participation)? Could this create a risk of double-counting effects? </text>
  </threadedComment>
  <threadedComment ref="A9" dT="2026-05-11T14:11:56.10" personId="{45D97875-6B8B-4148-B320-5D611AE673FF}" id="{C66E4385-61A7-49B2-A506-7B6A99310800}">
    <text>So this includes both domestic and multilateral/ bilateral capital?</text>
  </threadedComment>
  <threadedComment ref="A9" dT="2026-05-11T14:18:55.47" personId="{45D97875-6B8B-4148-B320-5D611AE673FF}" id="{78098A10-23BC-4446-8294-B997FC964DA7}" parentId="{C66E4385-61A7-49B2-A506-7B6A99310800}">
    <text>So this includes guarantees as well?</text>
  </threadedComment>
  <threadedComment ref="A9" dT="2026-05-22T10:11:41.80" personId="{0AE273C3-1AF6-48B0-9AE5-D6490144D019}" id="{25C53C0C-6EE4-4B88-A1F6-928C574D03FF}" parentId="{C66E4385-61A7-49B2-A506-7B6A99310800}">
    <text xml:space="preserve">A 1:4 leverage ratio for blended finance is assumed. Does this leverage effect apply independently of the type of public finance involved (e.g. concessional lending, guarantees, grants), or could differentiated leverage assumptions be introduced? Would this unnecessarily complicate the model?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showGridLines="0" tabSelected="1" zoomScaleNormal="100" workbookViewId="0">
      <pane xSplit="1" ySplit="5" topLeftCell="B9" activePane="bottomRight" state="frozen"/>
      <selection pane="bottomRight" activeCell="F11" sqref="F11"/>
      <selection pane="bottomLeft" activeCell="A6" sqref="A6"/>
      <selection pane="topRight" activeCell="B1" sqref="B1"/>
    </sheetView>
  </sheetViews>
  <sheetFormatPr defaultColWidth="8.5703125" defaultRowHeight="14.45"/>
  <cols>
    <col min="1" max="1" width="40.85546875" customWidth="1"/>
    <col min="2" max="4" width="11" customWidth="1"/>
    <col min="5" max="5" width="2" customWidth="1"/>
    <col min="6" max="8" width="11" customWidth="1"/>
    <col min="9" max="9" width="2" customWidth="1"/>
    <col min="10" max="10" width="52.42578125" customWidth="1"/>
  </cols>
  <sheetData>
    <row r="1" spans="1:10" ht="64.5" customHeight="1">
      <c r="A1" s="59" t="s">
        <v>0</v>
      </c>
      <c r="B1" s="60"/>
      <c r="C1" s="60"/>
      <c r="D1" s="60"/>
      <c r="E1" s="60"/>
      <c r="F1" s="60"/>
      <c r="G1" s="60"/>
      <c r="H1" s="60"/>
      <c r="I1" s="60"/>
      <c r="J1" s="60"/>
    </row>
    <row r="2" spans="1:10" ht="15.75" customHeight="1">
      <c r="A2" s="61" t="s">
        <v>1</v>
      </c>
      <c r="B2" s="61"/>
      <c r="C2" s="61"/>
      <c r="D2" s="61"/>
      <c r="E2" s="61"/>
      <c r="F2" s="61"/>
      <c r="G2" s="61"/>
      <c r="H2" s="61"/>
      <c r="I2" s="61"/>
      <c r="J2" s="61"/>
    </row>
    <row r="3" spans="1:10" ht="57.95" customHeight="1">
      <c r="A3" s="51" t="s">
        <v>2</v>
      </c>
      <c r="B3" s="2">
        <v>136</v>
      </c>
      <c r="C3" s="2">
        <v>136</v>
      </c>
      <c r="D3" s="2">
        <v>136</v>
      </c>
      <c r="J3" s="3" t="s">
        <v>3</v>
      </c>
    </row>
    <row r="4" spans="1:10" ht="18" customHeight="1">
      <c r="A4" s="56" t="s">
        <v>4</v>
      </c>
      <c r="B4" s="56"/>
      <c r="C4" s="56"/>
      <c r="D4" s="56"/>
      <c r="E4" s="56"/>
      <c r="F4" s="56"/>
      <c r="G4" s="56"/>
      <c r="H4" s="56"/>
      <c r="I4" s="56"/>
      <c r="J4" s="56"/>
    </row>
    <row r="5" spans="1:10" ht="18" customHeight="1">
      <c r="B5" s="62" t="s">
        <v>5</v>
      </c>
      <c r="C5" s="62"/>
      <c r="D5" s="62"/>
      <c r="F5" s="63" t="s">
        <v>6</v>
      </c>
      <c r="G5" s="63"/>
      <c r="H5" s="63"/>
    </row>
    <row r="6" spans="1:10" ht="36" customHeight="1">
      <c r="A6" s="4" t="s">
        <v>7</v>
      </c>
      <c r="B6" s="5" t="s">
        <v>8</v>
      </c>
      <c r="C6" s="5" t="s">
        <v>9</v>
      </c>
      <c r="D6" s="5" t="s">
        <v>10</v>
      </c>
      <c r="F6" s="6" t="s">
        <v>8</v>
      </c>
      <c r="G6" s="6" t="s">
        <v>9</v>
      </c>
      <c r="H6" s="6" t="s">
        <v>10</v>
      </c>
      <c r="J6" s="4" t="s">
        <v>11</v>
      </c>
    </row>
    <row r="7" spans="1:10" ht="74.45" customHeight="1">
      <c r="A7" s="53" t="s">
        <v>12</v>
      </c>
      <c r="B7" s="7">
        <v>0.04</v>
      </c>
      <c r="C7" s="7">
        <v>0.02</v>
      </c>
      <c r="D7" s="7">
        <v>0.08</v>
      </c>
      <c r="F7" s="8">
        <v>1.4999999999999999E-2</v>
      </c>
      <c r="G7" s="8">
        <v>1.4999999999999999E-2</v>
      </c>
      <c r="H7" s="8">
        <v>0.01</v>
      </c>
      <c r="J7" s="54" t="s">
        <v>13</v>
      </c>
    </row>
    <row r="8" spans="1:10" ht="36" customHeight="1">
      <c r="A8" s="10" t="s">
        <v>14</v>
      </c>
      <c r="B8" s="11">
        <v>0.04</v>
      </c>
      <c r="C8" s="11">
        <v>0.02</v>
      </c>
      <c r="D8" s="11">
        <v>0.08</v>
      </c>
      <c r="F8" s="12">
        <v>0.01</v>
      </c>
      <c r="G8" s="12">
        <v>0.01</v>
      </c>
      <c r="H8" s="12">
        <v>8.9999999999999993E-3</v>
      </c>
      <c r="J8" s="13" t="s">
        <v>15</v>
      </c>
    </row>
    <row r="9" spans="1:10" ht="55.5" customHeight="1">
      <c r="A9" s="14" t="s">
        <v>16</v>
      </c>
      <c r="B9" s="15">
        <v>0.01</v>
      </c>
      <c r="C9" s="15">
        <v>6.0000000000000001E-3</v>
      </c>
      <c r="D9" s="15">
        <v>0.03</v>
      </c>
      <c r="F9" s="16">
        <v>0.01</v>
      </c>
      <c r="G9" s="16">
        <v>0.01</v>
      </c>
      <c r="H9" s="16">
        <v>0.01</v>
      </c>
      <c r="J9" s="17" t="s">
        <v>17</v>
      </c>
    </row>
    <row r="10" spans="1:10" ht="36" customHeight="1">
      <c r="A10" s="18" t="s">
        <v>18</v>
      </c>
      <c r="B10" s="19">
        <v>0.04</v>
      </c>
      <c r="C10" s="19">
        <v>2.4E-2</v>
      </c>
      <c r="D10" s="19">
        <v>0.12</v>
      </c>
      <c r="F10" s="20">
        <v>0.06</v>
      </c>
      <c r="G10" s="20">
        <v>6.5000000000000002E-2</v>
      </c>
      <c r="H10" s="20">
        <v>0.06</v>
      </c>
      <c r="J10" s="21" t="s">
        <v>19</v>
      </c>
    </row>
    <row r="11" spans="1:10" ht="58.5" customHeight="1">
      <c r="A11" s="10" t="s">
        <v>20</v>
      </c>
      <c r="B11" s="11">
        <v>0.1</v>
      </c>
      <c r="C11" s="11">
        <v>0.05</v>
      </c>
      <c r="D11" s="11">
        <v>0.17499999999999999</v>
      </c>
      <c r="F11" s="12">
        <v>0.04</v>
      </c>
      <c r="G11" s="12">
        <v>4.2999999999999997E-2</v>
      </c>
      <c r="H11" s="12">
        <v>3.5999999999999997E-2</v>
      </c>
      <c r="J11" s="13" t="s">
        <v>21</v>
      </c>
    </row>
    <row r="12" spans="1:10" ht="36" customHeight="1">
      <c r="A12" s="53" t="s">
        <v>22</v>
      </c>
      <c r="B12" s="7">
        <v>0.1</v>
      </c>
      <c r="C12" s="7">
        <v>0.1</v>
      </c>
      <c r="D12" s="7">
        <v>7.0000000000000007E-2</v>
      </c>
      <c r="F12" s="8">
        <v>6.5000000000000002E-2</v>
      </c>
      <c r="G12" s="8">
        <v>7.0000000000000007E-2</v>
      </c>
      <c r="H12" s="8">
        <v>0.06</v>
      </c>
      <c r="J12" s="9" t="s">
        <v>23</v>
      </c>
    </row>
    <row r="13" spans="1:10" ht="59.1" customHeight="1">
      <c r="A13" s="55" t="s">
        <v>24</v>
      </c>
      <c r="B13" s="11">
        <v>0.67</v>
      </c>
      <c r="C13" s="11">
        <v>0.78</v>
      </c>
      <c r="D13" s="11">
        <v>0.44500000000000001</v>
      </c>
      <c r="F13" s="12">
        <v>7.4999999999999997E-2</v>
      </c>
      <c r="G13" s="12">
        <v>0.08</v>
      </c>
      <c r="H13" s="12">
        <v>7.0000000000000007E-2</v>
      </c>
      <c r="J13" s="13" t="s">
        <v>25</v>
      </c>
    </row>
    <row r="14" spans="1:10" ht="19.5" customHeight="1">
      <c r="A14" s="1" t="s">
        <v>26</v>
      </c>
      <c r="B14" s="22">
        <f>SUM(B7:B13)</f>
        <v>1</v>
      </c>
      <c r="C14" s="22">
        <f>SUM(C7:C13)</f>
        <v>1</v>
      </c>
      <c r="D14" s="22">
        <f>SUM(D7:D13)</f>
        <v>1</v>
      </c>
    </row>
    <row r="15" spans="1:10" ht="21.75" customHeight="1">
      <c r="A15" s="1" t="s">
        <v>27</v>
      </c>
      <c r="B15" s="52">
        <f>B7*F7+B8*F8+B9*F9+B10*F10+B11*F11+B12*F12+B13*F13</f>
        <v>6.4250000000000002E-2</v>
      </c>
      <c r="C15" s="52">
        <f>C7*G7+C8*G8+C9*G9+C10*G10+C11*G11+C12*G12+C13*G13</f>
        <v>7.3670000000000013E-2</v>
      </c>
      <c r="D15" s="52">
        <f>D7*H7+D8*H8+D9*H9+D10*H10+D11*H11+D12*H12+D13*H13</f>
        <v>5.0670000000000007E-2</v>
      </c>
      <c r="J15" s="23" t="s">
        <v>28</v>
      </c>
    </row>
    <row r="16" spans="1:10" ht="18" customHeight="1">
      <c r="A16" s="1" t="s">
        <v>29</v>
      </c>
      <c r="B16" s="24">
        <f>B3*B15</f>
        <v>8.7379999999999995</v>
      </c>
      <c r="C16" s="24">
        <f>B3*C15</f>
        <v>10.019120000000001</v>
      </c>
      <c r="D16" s="24">
        <f>B3*D15</f>
        <v>6.8911200000000008</v>
      </c>
    </row>
    <row r="18" spans="1:10" ht="18" customHeight="1">
      <c r="A18" s="56" t="s">
        <v>30</v>
      </c>
      <c r="B18" s="56"/>
      <c r="C18" s="56"/>
      <c r="D18" s="56"/>
      <c r="E18" s="56"/>
      <c r="F18" s="56"/>
      <c r="G18" s="56"/>
      <c r="H18" s="56"/>
      <c r="I18" s="56"/>
      <c r="J18" s="56"/>
    </row>
    <row r="19" spans="1:10" ht="48" customHeight="1">
      <c r="A19" s="25" t="s">
        <v>31</v>
      </c>
      <c r="B19" s="57" t="s">
        <v>32</v>
      </c>
      <c r="C19" s="57"/>
      <c r="D19" s="57"/>
      <c r="E19" s="57"/>
      <c r="F19" s="57"/>
      <c r="G19" s="57"/>
      <c r="H19" s="57"/>
      <c r="I19" s="57"/>
      <c r="J19" s="57"/>
    </row>
    <row r="20" spans="1:10" ht="48" customHeight="1">
      <c r="A20" s="25" t="s">
        <v>33</v>
      </c>
      <c r="B20" s="58" t="s">
        <v>34</v>
      </c>
      <c r="C20" s="57"/>
      <c r="D20" s="57"/>
      <c r="E20" s="57"/>
      <c r="F20" s="57"/>
      <c r="G20" s="57"/>
      <c r="H20" s="57"/>
      <c r="I20" s="57"/>
      <c r="J20" s="57"/>
    </row>
  </sheetData>
  <mergeCells count="8">
    <mergeCell ref="A18:J18"/>
    <mergeCell ref="B19:J19"/>
    <mergeCell ref="B20:J20"/>
    <mergeCell ref="A1:J1"/>
    <mergeCell ref="A2:J2"/>
    <mergeCell ref="A4:J4"/>
    <mergeCell ref="B5:D5"/>
    <mergeCell ref="F5:H5"/>
  </mergeCell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
  <sheetViews>
    <sheetView showGridLines="0" zoomScaleNormal="100" workbookViewId="0">
      <pane ySplit="4" topLeftCell="A5" activePane="bottomLeft" state="frozen"/>
      <selection pane="bottomLeft" activeCell="N5" sqref="N5"/>
    </sheetView>
  </sheetViews>
  <sheetFormatPr defaultColWidth="8.5703125" defaultRowHeight="14.45"/>
  <cols>
    <col min="1" max="1" width="38" customWidth="1"/>
    <col min="2" max="4" width="10" customWidth="1"/>
    <col min="5" max="5" width="2" customWidth="1"/>
    <col min="6" max="8" width="10" customWidth="1"/>
    <col min="9" max="9" width="2" customWidth="1"/>
    <col min="10" max="12" width="10" customWidth="1"/>
    <col min="13" max="13" width="2" customWidth="1"/>
    <col min="14" max="14" width="18" customWidth="1"/>
  </cols>
  <sheetData>
    <row r="1" spans="1:14" ht="24" customHeight="1">
      <c r="A1" s="64" t="s">
        <v>35</v>
      </c>
      <c r="B1" s="64"/>
      <c r="C1" s="64"/>
      <c r="D1" s="64"/>
      <c r="E1" s="64"/>
      <c r="F1" s="64"/>
      <c r="G1" s="64"/>
      <c r="H1" s="64"/>
      <c r="I1" s="64"/>
      <c r="J1" s="64"/>
      <c r="K1" s="64"/>
      <c r="L1" s="64"/>
      <c r="M1" s="64"/>
      <c r="N1" s="64"/>
    </row>
    <row r="2" spans="1:14" ht="13.5" customHeight="1">
      <c r="A2" s="61" t="s">
        <v>36</v>
      </c>
      <c r="B2" s="61"/>
      <c r="C2" s="61"/>
      <c r="D2" s="61"/>
      <c r="E2" s="61"/>
      <c r="F2" s="61"/>
      <c r="G2" s="61"/>
      <c r="H2" s="61"/>
      <c r="I2" s="61"/>
      <c r="J2" s="61"/>
      <c r="K2" s="61"/>
      <c r="L2" s="61"/>
      <c r="M2" s="61"/>
      <c r="N2" s="61"/>
    </row>
    <row r="3" spans="1:14" ht="15.75" customHeight="1">
      <c r="B3" s="62" t="s">
        <v>37</v>
      </c>
      <c r="C3" s="62"/>
      <c r="D3" s="62"/>
      <c r="F3" s="63" t="s">
        <v>38</v>
      </c>
      <c r="G3" s="63"/>
      <c r="H3" s="63"/>
      <c r="J3" s="65" t="s">
        <v>39</v>
      </c>
      <c r="K3" s="65"/>
      <c r="L3" s="65"/>
    </row>
    <row r="4" spans="1:14" ht="31.5" customHeight="1">
      <c r="A4" s="4" t="s">
        <v>7</v>
      </c>
      <c r="B4" s="5" t="s">
        <v>8</v>
      </c>
      <c r="C4" s="5" t="s">
        <v>9</v>
      </c>
      <c r="D4" s="5" t="s">
        <v>10</v>
      </c>
      <c r="F4" s="6" t="s">
        <v>8</v>
      </c>
      <c r="G4" s="6" t="s">
        <v>9</v>
      </c>
      <c r="H4" s="6" t="s">
        <v>10</v>
      </c>
      <c r="J4" s="26" t="s">
        <v>40</v>
      </c>
      <c r="K4" s="26" t="s">
        <v>41</v>
      </c>
      <c r="L4" s="26" t="s">
        <v>42</v>
      </c>
      <c r="N4" s="6" t="s">
        <v>43</v>
      </c>
    </row>
    <row r="5" spans="1:14" ht="36" customHeight="1">
      <c r="A5" s="27" t="s">
        <v>44</v>
      </c>
      <c r="B5" s="28">
        <f>Assumptions!B7</f>
        <v>0.04</v>
      </c>
      <c r="C5" s="28">
        <f>Assumptions!C7</f>
        <v>0.02</v>
      </c>
      <c r="D5" s="28">
        <f>Assumptions!D7</f>
        <v>0.08</v>
      </c>
      <c r="F5" s="29">
        <f>Assumptions!F7</f>
        <v>1.4999999999999999E-2</v>
      </c>
      <c r="G5" s="29">
        <f>Assumptions!G7</f>
        <v>1.4999999999999999E-2</v>
      </c>
      <c r="H5" s="29">
        <f>Assumptions!H7</f>
        <v>0.01</v>
      </c>
      <c r="J5" s="30">
        <f>Assumptions!B7*Assumptions!F7</f>
        <v>5.9999999999999995E-4</v>
      </c>
      <c r="K5" s="30">
        <f>Assumptions!C7*Assumptions!G7</f>
        <v>2.9999999999999997E-4</v>
      </c>
      <c r="L5" s="30">
        <f>Assumptions!D7*Assumptions!H7</f>
        <v>8.0000000000000004E-4</v>
      </c>
      <c r="N5" s="31">
        <f>IF(Assumptions!B15=0,0,Assumptions!B7*Assumptions!F7/Assumptions!B15)</f>
        <v>9.3385214007782099E-3</v>
      </c>
    </row>
    <row r="6" spans="1:14" ht="36" customHeight="1">
      <c r="A6" s="27" t="s">
        <v>14</v>
      </c>
      <c r="B6" s="32">
        <f>Assumptions!B8</f>
        <v>0.04</v>
      </c>
      <c r="C6" s="32">
        <f>Assumptions!C8</f>
        <v>0.02</v>
      </c>
      <c r="D6" s="32">
        <f>Assumptions!D8</f>
        <v>0.08</v>
      </c>
      <c r="F6" s="33">
        <f>Assumptions!F8</f>
        <v>0.01</v>
      </c>
      <c r="G6" s="33">
        <f>Assumptions!G8</f>
        <v>0.01</v>
      </c>
      <c r="H6" s="33">
        <f>Assumptions!H8</f>
        <v>8.9999999999999993E-3</v>
      </c>
      <c r="J6" s="34">
        <f>Assumptions!B8*Assumptions!F8</f>
        <v>4.0000000000000002E-4</v>
      </c>
      <c r="K6" s="34">
        <f>Assumptions!C8*Assumptions!G8</f>
        <v>2.0000000000000001E-4</v>
      </c>
      <c r="L6" s="34">
        <f>Assumptions!D8*Assumptions!H8</f>
        <v>7.1999999999999994E-4</v>
      </c>
      <c r="N6" s="35">
        <f>IF(Assumptions!B15=0,0,Assumptions!B8*Assumptions!F8/Assumptions!B15)</f>
        <v>6.2256809338521405E-3</v>
      </c>
    </row>
    <row r="7" spans="1:14" ht="36" customHeight="1">
      <c r="A7" s="27" t="s">
        <v>16</v>
      </c>
      <c r="B7" s="36">
        <f>Assumptions!B9</f>
        <v>0.01</v>
      </c>
      <c r="C7" s="36">
        <f>Assumptions!C9</f>
        <v>6.0000000000000001E-3</v>
      </c>
      <c r="D7" s="36">
        <f>Assumptions!D9</f>
        <v>0.03</v>
      </c>
      <c r="F7" s="37">
        <f>Assumptions!F9</f>
        <v>0.01</v>
      </c>
      <c r="G7" s="37">
        <f>Assumptions!G9</f>
        <v>0.01</v>
      </c>
      <c r="H7" s="37">
        <f>Assumptions!H9</f>
        <v>0.01</v>
      </c>
      <c r="J7" s="38">
        <f>Assumptions!B9*Assumptions!F9</f>
        <v>1E-4</v>
      </c>
      <c r="K7" s="38">
        <f>Assumptions!C9*Assumptions!G9</f>
        <v>6.0000000000000002E-5</v>
      </c>
      <c r="L7" s="38">
        <f>Assumptions!D9*Assumptions!H9</f>
        <v>2.9999999999999997E-4</v>
      </c>
      <c r="N7" s="39">
        <f>IF(Assumptions!B15=0,0,Assumptions!B9*Assumptions!F9/Assumptions!B15)</f>
        <v>1.5564202334630351E-3</v>
      </c>
    </row>
    <row r="8" spans="1:14" ht="36" customHeight="1">
      <c r="A8" s="27" t="s">
        <v>18</v>
      </c>
      <c r="B8" s="40">
        <f>Assumptions!B10</f>
        <v>0.04</v>
      </c>
      <c r="C8" s="40">
        <f>Assumptions!C10</f>
        <v>2.4E-2</v>
      </c>
      <c r="D8" s="40">
        <f>Assumptions!D10</f>
        <v>0.12</v>
      </c>
      <c r="F8" s="41">
        <f>Assumptions!F10</f>
        <v>0.06</v>
      </c>
      <c r="G8" s="41">
        <f>Assumptions!G10</f>
        <v>6.5000000000000002E-2</v>
      </c>
      <c r="H8" s="41">
        <f>Assumptions!H10</f>
        <v>0.06</v>
      </c>
      <c r="J8" s="42">
        <f>Assumptions!B10*Assumptions!F10</f>
        <v>2.3999999999999998E-3</v>
      </c>
      <c r="K8" s="42">
        <f>Assumptions!C10*Assumptions!G10</f>
        <v>1.5600000000000002E-3</v>
      </c>
      <c r="L8" s="42">
        <f>Assumptions!D10*Assumptions!H10</f>
        <v>7.1999999999999998E-3</v>
      </c>
      <c r="N8" s="43">
        <f>IF(Assumptions!B15=0,0,Assumptions!B10*Assumptions!F10/Assumptions!B15)</f>
        <v>3.735408560311284E-2</v>
      </c>
    </row>
    <row r="9" spans="1:14" ht="36" customHeight="1">
      <c r="A9" s="27" t="s">
        <v>20</v>
      </c>
      <c r="B9" s="32">
        <f>Assumptions!B11</f>
        <v>0.1</v>
      </c>
      <c r="C9" s="32">
        <f>Assumptions!C11</f>
        <v>0.05</v>
      </c>
      <c r="D9" s="32">
        <f>Assumptions!D11</f>
        <v>0.17499999999999999</v>
      </c>
      <c r="F9" s="33">
        <f>Assumptions!F11</f>
        <v>0.04</v>
      </c>
      <c r="G9" s="33">
        <f>Assumptions!G11</f>
        <v>4.2999999999999997E-2</v>
      </c>
      <c r="H9" s="33">
        <f>Assumptions!H11</f>
        <v>3.5999999999999997E-2</v>
      </c>
      <c r="J9" s="34">
        <f>Assumptions!B11*Assumptions!F11</f>
        <v>4.0000000000000001E-3</v>
      </c>
      <c r="K9" s="34">
        <f>Assumptions!C11*Assumptions!G11</f>
        <v>2.15E-3</v>
      </c>
      <c r="L9" s="34">
        <f>Assumptions!D11*Assumptions!H11</f>
        <v>6.2999999999999992E-3</v>
      </c>
      <c r="N9" s="35">
        <f>IF(Assumptions!B15=0,0,Assumptions!B11*Assumptions!F11/Assumptions!B15)</f>
        <v>6.2256809338521402E-2</v>
      </c>
    </row>
    <row r="10" spans="1:14" ht="36" customHeight="1">
      <c r="A10" s="27" t="s">
        <v>45</v>
      </c>
      <c r="B10" s="28">
        <f>Assumptions!B12</f>
        <v>0.1</v>
      </c>
      <c r="C10" s="28">
        <f>Assumptions!C12</f>
        <v>0.1</v>
      </c>
      <c r="D10" s="28">
        <f>Assumptions!D12</f>
        <v>7.0000000000000007E-2</v>
      </c>
      <c r="F10" s="29">
        <f>Assumptions!F12</f>
        <v>6.5000000000000002E-2</v>
      </c>
      <c r="G10" s="29">
        <f>Assumptions!G12</f>
        <v>7.0000000000000007E-2</v>
      </c>
      <c r="H10" s="29">
        <f>Assumptions!H12</f>
        <v>0.06</v>
      </c>
      <c r="J10" s="30">
        <f>Assumptions!B12*Assumptions!F12</f>
        <v>6.5000000000000006E-3</v>
      </c>
      <c r="K10" s="30">
        <f>Assumptions!C12*Assumptions!G12</f>
        <v>7.000000000000001E-3</v>
      </c>
      <c r="L10" s="30">
        <f>Assumptions!D12*Assumptions!H12</f>
        <v>4.2000000000000006E-3</v>
      </c>
      <c r="N10" s="31">
        <f>IF(Assumptions!B15=0,0,Assumptions!B12*Assumptions!F12/Assumptions!B15)</f>
        <v>0.10116731517509728</v>
      </c>
    </row>
    <row r="11" spans="1:14" ht="36" customHeight="1">
      <c r="A11" s="27" t="s">
        <v>46</v>
      </c>
      <c r="B11" s="32">
        <f>Assumptions!B13</f>
        <v>0.67</v>
      </c>
      <c r="C11" s="32">
        <f>Assumptions!C13</f>
        <v>0.78</v>
      </c>
      <c r="D11" s="32">
        <f>Assumptions!D13</f>
        <v>0.44500000000000001</v>
      </c>
      <c r="F11" s="33">
        <f>Assumptions!F13</f>
        <v>7.4999999999999997E-2</v>
      </c>
      <c r="G11" s="33">
        <f>Assumptions!G13</f>
        <v>0.08</v>
      </c>
      <c r="H11" s="33">
        <f>Assumptions!H13</f>
        <v>7.0000000000000007E-2</v>
      </c>
      <c r="J11" s="34">
        <f>Assumptions!B13*Assumptions!F13</f>
        <v>5.0250000000000003E-2</v>
      </c>
      <c r="K11" s="34">
        <f>Assumptions!C13*Assumptions!G13</f>
        <v>6.2400000000000004E-2</v>
      </c>
      <c r="L11" s="34">
        <f>Assumptions!D13*Assumptions!H13</f>
        <v>3.1150000000000004E-2</v>
      </c>
      <c r="N11" s="35">
        <f>IF(Assumptions!B15=0,0,Assumptions!B13*Assumptions!F13/Assumptions!B15)</f>
        <v>0.78210116731517509</v>
      </c>
    </row>
    <row r="12" spans="1:14" ht="21.75" customHeight="1">
      <c r="A12" s="1" t="s">
        <v>47</v>
      </c>
      <c r="B12" s="44">
        <f>Assumptions!B14</f>
        <v>1</v>
      </c>
      <c r="C12" s="44">
        <f>Assumptions!C14</f>
        <v>1</v>
      </c>
      <c r="D12" s="44">
        <f>Assumptions!D14</f>
        <v>1</v>
      </c>
      <c r="J12" s="45">
        <f>Assumptions!B15</f>
        <v>6.4250000000000002E-2</v>
      </c>
      <c r="K12" s="45">
        <f>Assumptions!C15</f>
        <v>7.3670000000000013E-2</v>
      </c>
      <c r="L12" s="45">
        <f>Assumptions!D15</f>
        <v>5.0670000000000007E-2</v>
      </c>
      <c r="N12" s="46">
        <f>100%</f>
        <v>1</v>
      </c>
    </row>
  </sheetData>
  <mergeCells count="5">
    <mergeCell ref="A1:N1"/>
    <mergeCell ref="A2:N2"/>
    <mergeCell ref="B3:D3"/>
    <mergeCell ref="F3:H3"/>
    <mergeCell ref="J3:L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showGridLines="0" zoomScaleNormal="100" workbookViewId="0">
      <selection activeCell="B13" sqref="B13"/>
    </sheetView>
  </sheetViews>
  <sheetFormatPr defaultColWidth="8.5703125" defaultRowHeight="14.45"/>
  <cols>
    <col min="1" max="1" width="40" customWidth="1"/>
    <col min="2" max="4" width="18" customWidth="1"/>
    <col min="5" max="5" width="3" customWidth="1"/>
    <col min="6" max="6" width="40" customWidth="1"/>
  </cols>
  <sheetData>
    <row r="1" spans="1:6" ht="25.5" customHeight="1">
      <c r="A1" s="60" t="s">
        <v>48</v>
      </c>
      <c r="B1" s="60"/>
      <c r="C1" s="60"/>
      <c r="D1" s="60"/>
      <c r="E1" s="60"/>
      <c r="F1" s="60"/>
    </row>
    <row r="2" spans="1:6" ht="13.5" customHeight="1">
      <c r="A2" s="61" t="s">
        <v>49</v>
      </c>
      <c r="B2" s="61"/>
      <c r="C2" s="61"/>
      <c r="D2" s="61"/>
      <c r="E2" s="61"/>
      <c r="F2" s="61"/>
    </row>
    <row r="3" spans="1:6" ht="31.5" customHeight="1">
      <c r="A3" s="6" t="s">
        <v>50</v>
      </c>
      <c r="B3" s="6" t="s">
        <v>51</v>
      </c>
      <c r="C3" s="6" t="s">
        <v>52</v>
      </c>
      <c r="D3" s="6" t="s">
        <v>53</v>
      </c>
      <c r="F3" s="6" t="s">
        <v>54</v>
      </c>
    </row>
    <row r="4" spans="1:6" ht="19.5" customHeight="1">
      <c r="A4" s="47" t="s">
        <v>55</v>
      </c>
      <c r="B4" s="34">
        <f>Assumptions!B15</f>
        <v>6.4250000000000002E-2</v>
      </c>
      <c r="C4" s="34">
        <f>Assumptions!C15</f>
        <v>7.3670000000000013E-2</v>
      </c>
      <c r="D4" s="34">
        <f>Assumptions!D15</f>
        <v>5.0670000000000007E-2</v>
      </c>
      <c r="E4" s="48"/>
      <c r="F4" s="9"/>
    </row>
    <row r="5" spans="1:6" ht="19.5" customHeight="1">
      <c r="A5" s="49" t="s">
        <v>56</v>
      </c>
      <c r="B5" s="31">
        <f>Assumptions!B11+Assumptions!B12</f>
        <v>0.2</v>
      </c>
      <c r="C5" s="31">
        <f>Assumptions!C11+Assumptions!C12</f>
        <v>0.15000000000000002</v>
      </c>
      <c r="D5" s="31">
        <f>Assumptions!D11+Assumptions!D12</f>
        <v>0.245</v>
      </c>
      <c r="F5" s="9"/>
    </row>
    <row r="6" spans="1:6" ht="19.5" customHeight="1">
      <c r="A6" s="47" t="s">
        <v>57</v>
      </c>
      <c r="B6" s="35">
        <f>Assumptions!B13</f>
        <v>0.67</v>
      </c>
      <c r="C6" s="35">
        <f>Assumptions!C13</f>
        <v>0.78</v>
      </c>
      <c r="D6" s="35">
        <f>Assumptions!D13</f>
        <v>0.44500000000000001</v>
      </c>
      <c r="E6" s="48"/>
      <c r="F6" s="9"/>
    </row>
    <row r="7" spans="1:6" ht="19.5" customHeight="1">
      <c r="A7" s="49" t="s">
        <v>58</v>
      </c>
      <c r="B7" s="31">
        <f>Assumptions!B7+Assumptions!B8+Assumptions!B9+Assumptions!B10</f>
        <v>0.13</v>
      </c>
      <c r="C7" s="31">
        <f>Assumptions!C7+Assumptions!C8+Assumptions!C9+Assumptions!C10</f>
        <v>7.0000000000000007E-2</v>
      </c>
      <c r="D7" s="31">
        <f>Assumptions!D7+Assumptions!D8+Assumptions!D9+Assumptions!D10</f>
        <v>0.31</v>
      </c>
      <c r="F7" s="9"/>
    </row>
    <row r="8" spans="1:6" ht="19.5" customHeight="1">
      <c r="A8" s="47" t="s">
        <v>59</v>
      </c>
      <c r="B8" s="34">
        <f>Assumptions!F11</f>
        <v>0.04</v>
      </c>
      <c r="C8" s="34">
        <f>Assumptions!G11</f>
        <v>4.2999999999999997E-2</v>
      </c>
      <c r="D8" s="34">
        <f>Assumptions!H11</f>
        <v>3.5999999999999997E-2</v>
      </c>
      <c r="E8" s="48"/>
      <c r="F8" s="9"/>
    </row>
    <row r="9" spans="1:6" ht="19.5" customHeight="1">
      <c r="A9" s="49" t="s">
        <v>60</v>
      </c>
      <c r="B9" s="30">
        <f>Assumptions!F13</f>
        <v>7.4999999999999997E-2</v>
      </c>
      <c r="C9" s="30">
        <f>Assumptions!G13</f>
        <v>0.08</v>
      </c>
      <c r="D9" s="30">
        <f>Assumptions!H13</f>
        <v>7.0000000000000007E-2</v>
      </c>
      <c r="F9" s="9"/>
    </row>
    <row r="10" spans="1:6" ht="36" customHeight="1">
      <c r="A10" s="47" t="s">
        <v>61</v>
      </c>
      <c r="B10" s="50">
        <f>Assumptions!B16</f>
        <v>8.7379999999999995</v>
      </c>
      <c r="C10" s="50">
        <f>Assumptions!C16</f>
        <v>10.019120000000001</v>
      </c>
      <c r="D10" s="50">
        <f>Assumptions!D16</f>
        <v>6.8911200000000008</v>
      </c>
      <c r="E10" s="48"/>
      <c r="F10" s="9"/>
    </row>
    <row r="11" spans="1:6" ht="36" customHeight="1">
      <c r="A11" s="49" t="s">
        <v>62</v>
      </c>
      <c r="B11" s="24">
        <f>Assumptions!B16-Assumptions!C16</f>
        <v>-1.2811200000000014</v>
      </c>
      <c r="C11" s="24" t="str">
        <f>"—"</f>
        <v>—</v>
      </c>
      <c r="D11" s="24">
        <f>Assumptions!D16-Assumptions!C16</f>
        <v>-3.1280000000000001</v>
      </c>
      <c r="F11" s="9"/>
    </row>
  </sheetData>
  <mergeCells count="2">
    <mergeCell ref="A1:F1"/>
    <mergeCell ref="A2:F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1f43c89-4e08-475e-90dc-8d81c2a76942">
      <Terms xmlns="http://schemas.microsoft.com/office/infopath/2007/PartnerControls"/>
    </lcf76f155ced4ddcb4097134ff3c332f>
    <TaxCatchAll xmlns="388d0403-69f5-4686-a95b-cac9ff01ae6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9700E73D352567448BBEE4D014CD02A8" ma:contentTypeVersion="12" ma:contentTypeDescription="Ein neues Dokument erstellen." ma:contentTypeScope="" ma:versionID="0ff5faebc46d42d0ff56cb3abb84037c">
  <xsd:schema xmlns:xsd="http://www.w3.org/2001/XMLSchema" xmlns:xs="http://www.w3.org/2001/XMLSchema" xmlns:p="http://schemas.microsoft.com/office/2006/metadata/properties" xmlns:ns2="f1f43c89-4e08-475e-90dc-8d81c2a76942" xmlns:ns3="388d0403-69f5-4686-a95b-cac9ff01ae61" targetNamespace="http://schemas.microsoft.com/office/2006/metadata/properties" ma:root="true" ma:fieldsID="829287c48e80b0900b382a701d9c277f" ns2:_="" ns3:_="">
    <xsd:import namespace="f1f43c89-4e08-475e-90dc-8d81c2a76942"/>
    <xsd:import namespace="388d0403-69f5-4686-a95b-cac9ff01ae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f43c89-4e08-475e-90dc-8d81c2a769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0aed264e-563a-469a-8ebe-271e849ec1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88d0403-69f5-4686-a95b-cac9ff01ae6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a7f6972-f309-49f4-8d2e-1c432e90d65b}" ma:internalName="TaxCatchAll" ma:showField="CatchAllData" ma:web="388d0403-69f5-4686-a95b-cac9ff01ae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637C2A-A924-4092-9059-1C89784A848A}"/>
</file>

<file path=customXml/itemProps2.xml><?xml version="1.0" encoding="utf-8"?>
<ds:datastoreItem xmlns:ds="http://schemas.openxmlformats.org/officeDocument/2006/customXml" ds:itemID="{5214D09E-CD93-4EEA-8B12-282D12B93283}"/>
</file>

<file path=customXml/itemProps3.xml><?xml version="1.0" encoding="utf-8"?>
<ds:datastoreItem xmlns:ds="http://schemas.openxmlformats.org/officeDocument/2006/customXml" ds:itemID="{3A66CA72-5E87-4E8A-B85C-4D550B6781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2026-04-27T08:31:18Z</dcterms:created>
  <dcterms:modified xsi:type="dcterms:W3CDTF">2026-05-29T05:38:24Z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0x0101009700E73D352567448BBEE4D014CD02A8</vt:lpwstr>
  </property>
  <property fmtid="{D5CDD505-2E9C-101B-9397-08002B2CF9AE}" pid="3" name="MediaServiceImageTags">
    <vt:lpwstr/>
  </property>
</Properties>
</file>