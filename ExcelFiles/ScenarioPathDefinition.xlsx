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\Documents\GitHub\DGE-METRIC\ExcelFiles\"/>
    </mc:Choice>
  </mc:AlternateContent>
  <xr:revisionPtr revIDLastSave="0" documentId="13_ncr:1_{CCA2317A-A183-45CB-BB08-CE75FF479F3B}" xr6:coauthVersionLast="47" xr6:coauthVersionMax="47" xr10:uidLastSave="{00000000-0000-0000-0000-000000000000}"/>
  <bookViews>
    <workbookView xWindow="-120" yWindow="-120" windowWidth="38640" windowHeight="21120" firstSheet="18" activeTab="18"/>
  </bookViews>
  <sheets>
    <sheet name="Baseline" sheetId="1" r:id="rId1"/>
    <sheet name="NZ" sheetId="2" r:id="rId2"/>
    <sheet name="EE_PDP8_ref" sheetId="3" r:id="rId3"/>
    <sheet name="EE_PDP8_ref_NoBESS" sheetId="4" r:id="rId4"/>
    <sheet name="EE_Dir10_full" sheetId="5" r:id="rId5"/>
    <sheet name="EE_Dir10_full_NoBESS" sheetId="6" r:id="rId6"/>
    <sheet name="EE_RTS_prerev_95GW" sheetId="7" r:id="rId7"/>
    <sheet name="EE_RTS_prerev_95GW_NoBESS" sheetId="8" r:id="rId8"/>
    <sheet name="EE_Dir10_RTSslice" sheetId="9" r:id="rId9"/>
    <sheet name="EE_Dir10_RTSslice_NoBESS" sheetId="10" r:id="rId10"/>
    <sheet name="EE_Dir10_EEonly" sheetId="11" r:id="rId11"/>
    <sheet name="EE_Dir10_EEonly_NoBESS" sheetId="12" r:id="rId12"/>
    <sheet name="PDP8_GF_A" sheetId="13" r:id="rId13"/>
    <sheet name="PDP8_GF_B" sheetId="14" r:id="rId14"/>
    <sheet name="PDP8_GF_C" sheetId="15" r:id="rId15"/>
    <sheet name="NZ_GF_A" sheetId="16" r:id="rId16"/>
    <sheet name="NZ_GF_B" sheetId="17" r:id="rId17"/>
    <sheet name="NZ_GF_C" sheetId="18" r:id="rId18"/>
    <sheet name="NZ_Dir10_full_GF_C" sheetId="29" r:id="rId19"/>
    <sheet name="NZ_subsidy_direct" sheetId="28" r:id="rId20"/>
    <sheet name="NZ_constEE" sheetId="19" r:id="rId21"/>
    <sheet name="NZ_constInt" sheetId="20" r:id="rId22"/>
    <sheet name="NZ_constEEInt" sheetId="21" r:id="rId23"/>
    <sheet name="NZ_subsidy" sheetId="22" r:id="rId24"/>
    <sheet name="NZ_Dir10_full" sheetId="23" r:id="rId25"/>
    <sheet name="NZ_Dir10_full_NoBESS" sheetId="24" r:id="rId26"/>
    <sheet name="NZ_RTS_prerev_95GW" sheetId="25" r:id="rId27"/>
    <sheet name="NZ_RTS_prerev_95GW_NoBESS" sheetId="26" r:id="rId28"/>
    <sheet name="ImportShock_Fossil2_P10" sheetId="27" r:id="rId29"/>
  </sheets>
  <externalReferences>
    <externalReference r:id="rId30"/>
  </externalReferenc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<sst xmlns="http://schemas.openxmlformats.org/spreadsheetml/2006/main" xmlns:r="http://schemas.openxmlformats.org/officeDocument/2006/relationships" xmlns:xdr="http://schemas.openxmlformats.org/drawingml/2006/spreadsheetDrawing" count="475" uniqueCount="155">
  <si>
    <t>exo_targetIY_2_1</t>
  </si>
  <si>
    <t>direct (share of GDP from PDP8 investment + maintenance)</t>
  </si>
  <si>
    <t>exo_targetIY_3_1</t>
  </si>
  <si>
    <t>exo_E_NOETS_1_1</t>
  </si>
  <si>
    <t>log(index/index(1))</t>
  </si>
  <si>
    <t>Time</t>
  </si>
  <si>
    <t>exo_E_1</t>
  </si>
  <si>
    <t>exo_CapTrade_1</t>
  </si>
  <si>
    <t>exo_tauS_1</t>
  </si>
  <si>
    <t>E_1</t>
  </si>
  <si>
    <t>E_Base</t>
  </si>
  <si>
    <t>exo_K_G_2_1</t>
  </si>
  <si>
    <t>exo_AI_5_1_2</t>
  </si>
  <si>
    <t>direct (level)</t>
  </si>
  <si>
    <t>Section header</t>
  </si>
  <si>
    <t>Fossil production index</t>
  </si>
  <si>
    <t>exo_Q_2_1</t>
  </si>
  <si>
    <t>log(index)</t>
  </si>
  <si>
    <t>Fossil exports index</t>
  </si>
  <si>
    <t>exo_X_2_1</t>
  </si>
  <si>
    <t>Baseline Path Definition Template</t>
  </si>
  <si>
    <t>Input Variable</t>
  </si>
  <si>
    <t>Year</t>
  </si>
  <si>
    <t>Total value-added growth factor</t>
  </si>
  <si>
    <t>VA share - Primary</t>
  </si>
  <si>
    <t>VA share - Fossil</t>
  </si>
  <si>
    <t>VA share - Renewables</t>
  </si>
  <si>
    <t>VA share - Secondary</t>
  </si>
  <si>
    <t>VA share - Tertiary</t>
  </si>
  <si>
    <t>Total employment growth factor</t>
  </si>
  <si>
    <t>Employment share - Primary</t>
  </si>
  <si>
    <t>Employment share - Fossil</t>
  </si>
  <si>
    <t>Employment share - Renewables</t>
  </si>
  <si>
    <t>Employment share - Secondary</t>
  </si>
  <si>
    <t>Employment share - Tertiary</t>
  </si>
  <si>
    <t>Optional block: Emissions and Fossil Paths</t>
  </si>
  <si>
    <t>Sector emissions index - Primary</t>
  </si>
  <si>
    <t>exo_E_1_1</t>
  </si>
  <si>
    <t>Sector emissions index - Fossil</t>
  </si>
  <si>
    <t>exo_E_2_1</t>
  </si>
  <si>
    <t>Sector emissions index - Renewables</t>
  </si>
  <si>
    <t>exo_E_3_1</t>
  </si>
  <si>
    <t>Sector emissions index - Secondary</t>
  </si>
  <si>
    <t>exo_E_4_1</t>
  </si>
  <si>
    <t>Sector emissions index - Tertiary</t>
  </si>
  <si>
    <t>exo_E_5_1</t>
  </si>
  <si>
    <t>Fossil FDI investment long-run</t>
  </si>
  <si>
    <t>exo_I_FDI_2_1</t>
  </si>
  <si>
    <t>No ETS covered emissions by agriculture</t>
  </si>
  <si>
    <t>Optional block: Public Capital Stock</t>
  </si>
  <si>
    <t>Public capital stock index - Primary</t>
  </si>
  <si>
    <t>exo_K_G_1_1</t>
  </si>
  <si>
    <t>Public capital stock index - subsector 2 (fossil)</t>
  </si>
  <si>
    <t>Public capital stock index - subsector 3 (renewables)</t>
  </si>
  <si>
    <t>exo_K_G_3_1</t>
  </si>
  <si>
    <t>Public capital stock index - Secondary</t>
  </si>
  <si>
    <t>exo_K_G_4_1</t>
  </si>
  <si>
    <t>Public capital stock index - Tertiary</t>
  </si>
  <si>
    <t>exo_K_G_5_1</t>
  </si>
  <si>
    <t>Optional block: Target Investment Ratios</t>
  </si>
  <si>
    <t>Target investment ratio - fossil</t>
  </si>
  <si>
    <t>Target investment ratio - renewables</t>
  </si>
  <si>
    <t>Optional block: Target Investment Logicals</t>
  </si>
  <si>
    <t>Target investment logical - fossil</t>
  </si>
  <si>
    <t>exo_ltargetIY_2_1</t>
  </si>
  <si>
    <t>1 if value&gt;0 else 0</t>
  </si>
  <si>
    <t>Target investment logical - renewables</t>
  </si>
  <si>
    <t>exo_ltargetIY_3_1</t>
  </si>
  <si>
    <t>Optional block: Investment Prices</t>
  </si>
  <si>
    <t>Investment price index - Primary</t>
  </si>
  <si>
    <t>exo_P_K_1_1</t>
  </si>
  <si>
    <t>additive (index-index(1))</t>
  </si>
  <si>
    <t>Investment price index - subsector 2 (fossil)</t>
  </si>
  <si>
    <t>exo_P_K_2_1</t>
  </si>
  <si>
    <t>Investment price index - subsector 3 (renewables)</t>
  </si>
  <si>
    <t>exo_P_K_3_1</t>
  </si>
  <si>
    <t>Investment price index - Secondary</t>
  </si>
  <si>
    <t>exo_P_K_4_1</t>
  </si>
  <si>
    <t>Investment price index - Tertiary</t>
  </si>
  <si>
    <t>exo_P_K_5_1</t>
  </si>
  <si>
    <t>Optional block: Public Capital Interest Rates</t>
  </si>
  <si>
    <t>Public capital interest rate index - Primary</t>
  </si>
  <si>
    <t>exo_r_G_1_1</t>
  </si>
  <si>
    <t>Public capital interest rate index - subsector 2 (fossil)</t>
  </si>
  <si>
    <t>exo_r_G_2_1</t>
  </si>
  <si>
    <t>Public capital interest rate index - subsector 3 (renewables)</t>
  </si>
  <si>
    <t>exo_r_G_3_1</t>
  </si>
  <si>
    <t>Public capital interest rate index - Secondary</t>
  </si>
  <si>
    <t>exo_r_G_4_1</t>
  </si>
  <si>
    <t>Public capital interest rate index - Tertiary</t>
  </si>
  <si>
    <t>exo_r_G_5_1</t>
  </si>
  <si>
    <t>Optional block: Emissions Price</t>
  </si>
  <si>
    <t>Global emissions price index</t>
  </si>
  <si>
    <t>exo_PE</t>
  </si>
  <si>
    <t>Regional emissions price index (region 1)</t>
  </si>
  <si>
    <t>exo_PE_1</t>
  </si>
  <si>
    <t>Optional block: Demographics</t>
  </si>
  <si>
    <t>Labour force index (region 1)</t>
  </si>
  <si>
    <t>exo_LF_1</t>
  </si>
  <si>
    <t>Non-labour force index (region 1)</t>
  </si>
  <si>
    <t>exo_NLF_1</t>
  </si>
  <si>
    <t>Optional block: Sector Energy Efficiency Targets</t>
  </si>
  <si>
    <t>Energy-efficiency target index - Primary</t>
  </si>
  <si>
    <t>exo_AI_1_1_2</t>
  </si>
  <si>
    <t>Energy-efficiency target index - Fossil</t>
  </si>
  <si>
    <t>exo_AI_2_1_2</t>
  </si>
  <si>
    <t>Energy-efficiency target index - Renewables</t>
  </si>
  <si>
    <t>exo_AI_3_1_2</t>
  </si>
  <si>
    <t>Energy-efficiency target index - Secondary</t>
  </si>
  <si>
    <t>exo_AI_4_1_2</t>
  </si>
  <si>
    <t>Energy-efficiency target index - Tertiary</t>
  </si>
  <si>
    <t>Optional block: Rooftop Solar (PV)</t>
  </si>
  <si>
    <t>Rooftop PV investment index</t>
  </si>
  <si>
    <t>exo_PV_1</t>
  </si>
  <si>
    <t>Rooftop PV production index</t>
  </si>
  <si>
    <t>exo_PVEff_1</t>
  </si>
  <si>
    <t>Power-factor efficiency index shock</t>
  </si>
  <si>
    <t>Optional block: FDI Capital Stock</t>
  </si>
  <si>
    <t>FDI investment share activator - Renewables</t>
  </si>
  <si>
    <t>exo_lFDIShare_3_1</t>
  </si>
  <si>
    <t>FDI investment share - Renewables</t>
  </si>
  <si>
    <t>exo_sFDIShare_3_1</t>
  </si>
  <si>
    <t>Public investment share activator - Renewables</t>
  </si>
  <si>
    <t>exo_lIGShare_3_1</t>
  </si>
  <si>
    <t>Public investment share - Renewables</t>
  </si>
  <si>
    <t>exo_sIGShare_3_1</t>
  </si>
  <si>
    <t>FDI interest rate - Renewables</t>
  </si>
  <si>
    <t>exo_r_FDI_3_1</t>
  </si>
  <si>
    <t>FDI investment share activator - Fossil</t>
  </si>
  <si>
    <t>exo_lFDIShare_2_1</t>
  </si>
  <si>
    <t>FDI investment share - Fossil</t>
  </si>
  <si>
    <t>exo_sFDIShare_2_1</t>
  </si>
  <si>
    <t>FDI interest rate - Fossil</t>
  </si>
  <si>
    <t>exo_r_FDI_2_1</t>
  </si>
  <si>
    <t>Public investment share activator - Fossil</t>
  </si>
  <si>
    <t>exo_lIGShare_2_1</t>
  </si>
  <si>
    <t>Public investment share - Fossil</t>
  </si>
  <si>
    <t>exo_sIGShare_2_1</t>
  </si>
  <si>
    <t>Public debt to GDP for baseline</t>
  </si>
  <si>
    <t>exo_BG_1</t>
  </si>
  <si>
    <t>Net export to GDP switch</t>
  </si>
  <si>
    <t>exo_lNXTarget_1</t>
  </si>
  <si>
    <t>Net export to GDP ratio relative to initial year</t>
  </si>
  <si>
    <t>exo_NX_1</t>
  </si>
  <si>
    <t>Period</t>
  </si>
  <si>
    <t>exo_GA_4_1</t>
  </si>
  <si>
    <t>exo_GA_5_1</t>
  </si>
  <si>
    <t>exo_GA_3_1</t>
  </si>
  <si>
    <t>exo_lAddEE_4_1</t>
  </si>
  <si>
    <t>exo_lAddEE_5_1</t>
  </si>
  <si>
    <t>exo_EE_1</t>
  </si>
  <si>
    <t>exo_kappaE_2_1</t>
  </si>
  <si>
    <t>exo_lMAmount_2</t>
  </si>
  <si>
    <t>exo_MAmt_2</t>
  </si>
  <si>
    <t>exo_tauSTr_1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</si>
</sst>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true" applyFill="true"/>
    <xf numFmtId="0" fontId="1" fillId="4" borderId="0" xfId="0" applyFont="true" applyFill="true"/>
    <xf numFmtId="0" fontId="0" fillId="5" borderId="0" xfId="0" applyFill="true"/>
    <xf numFmtId="0" fontId="0" fillId="0" borderId="0" xfId="0" applyAlignment="true">
      <alignment horizontal="center"/>
    </xf>
    <xf numFmtId="0" fontId="1" fillId="2" borderId="0" xfId="0" applyFont="true" applyFill="true" applyAlignment="true">
      <alignment horizontal="center"/>
    </xf>
    <xf numFmtId="0" fontId="1" fillId="0" borderId="0" xfId="0" applyFont="true" applyAlignment="true">
      <alignment horizontal="center"/>
    </xf>
    <xf numFmtId="0" fontId="1" fillId="6" borderId="0" xfId="0" applyFont="true" applyFill="true" applyAlignment="true">
      <alignment horizontal="center"/>
    </xf>
    <xf numFmtId="0" fontId="0" fillId="6" borderId="0" xfId="0" applyFill="true" applyAlignment="true">
      <alignment horizontal="center"/>
    </xf>
    <xf numFmtId="0" fontId="1" fillId="3" borderId="0" xfId="0" applyFont="true" applyFill="true" applyAlignment="true">
      <alignment horizontal="center"/>
    </xf>
    <xf numFmtId="0" fontId="1" fillId="4" borderId="0" xfId="0" applyFont="true" applyFill="true" applyAlignment="true">
      <alignment horizontal="center"/>
    </xf>
    <xf numFmtId="0" fontId="2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13.xml" Type="http://schemas.openxmlformats.org/officeDocument/2006/relationships/worksheet" Id="rId13"/><Relationship Target="worksheets/sheet18.xml" Type="http://schemas.openxmlformats.org/officeDocument/2006/relationships/worksheet" Id="rId18"/><Relationship Target="worksheets/sheet26.xml" Type="http://schemas.openxmlformats.org/officeDocument/2006/relationships/worksheet" Id="rId26"/><Relationship Target="worksheets/sheet3.xml" Type="http://schemas.openxmlformats.org/officeDocument/2006/relationships/worksheet" Id="rId3"/><Relationship Target="worksheets/sheet21.xml" Type="http://schemas.openxmlformats.org/officeDocument/2006/relationships/worksheet" Id="rId21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17.xml" Type="http://schemas.openxmlformats.org/officeDocument/2006/relationships/worksheet" Id="rId17"/><Relationship Target="worksheets/sheet25.xml" Type="http://schemas.openxmlformats.org/officeDocument/2006/relationships/worksheet" Id="rId25"/><Relationship Target="sharedStrings.xml" Type="http://schemas.openxmlformats.org/officeDocument/2006/relationships/sharedStrings" Id="rId33"/><Relationship Target="worksheets/sheet2.xml" Type="http://schemas.openxmlformats.org/officeDocument/2006/relationships/worksheet" Id="rId2"/><Relationship Target="worksheets/sheet16.xml" Type="http://schemas.openxmlformats.org/officeDocument/2006/relationships/worksheet" Id="rId16"/><Relationship Target="worksheets/sheet20.xml" Type="http://schemas.openxmlformats.org/officeDocument/2006/relationships/worksheet" Id="rId20"/><Relationship Target="worksheets/sheet29.xml" Type="http://schemas.openxmlformats.org/officeDocument/2006/relationships/worksheet" Id="rId29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24.xml" Type="http://schemas.openxmlformats.org/officeDocument/2006/relationships/worksheet" Id="rId24"/><Relationship Target="styles.xml" Type="http://schemas.openxmlformats.org/officeDocument/2006/relationships/styles" Id="rId32"/><Relationship Target="worksheets/sheet5.xml" Type="http://schemas.openxmlformats.org/officeDocument/2006/relationships/worksheet" Id="rId5"/><Relationship Target="worksheets/sheet15.xml" Type="http://schemas.openxmlformats.org/officeDocument/2006/relationships/worksheet" Id="rId15"/><Relationship Target="worksheets/sheet23.xml" Type="http://schemas.openxmlformats.org/officeDocument/2006/relationships/worksheet" Id="rId23"/><Relationship Target="worksheets/sheet28.xml" Type="http://schemas.openxmlformats.org/officeDocument/2006/relationships/worksheet" Id="rId28"/><Relationship Target="worksheets/sheet10.xml" Type="http://schemas.openxmlformats.org/officeDocument/2006/relationships/worksheet" Id="rId10"/><Relationship Target="worksheets/sheet19.xml" Type="http://schemas.openxmlformats.org/officeDocument/2006/relationships/worksheet" Id="rId19"/><Relationship Target="theme/theme1.xml" Type="http://schemas.openxmlformats.org/officeDocument/2006/relationships/theme" Id="rId31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worksheets/sheet14.xml" Type="http://schemas.openxmlformats.org/officeDocument/2006/relationships/worksheet" Id="rId14"/><Relationship Target="worksheets/sheet22.xml" Type="http://schemas.openxmlformats.org/officeDocument/2006/relationships/worksheet" Id="rId22"/><Relationship Target="worksheets/sheet27.xml" Type="http://schemas.openxmlformats.org/officeDocument/2006/relationships/worksheet" Id="rId27"/><Relationship Target="externalLinks/externalLink1.xml" Type="http://schemas.openxmlformats.org/officeDocument/2006/relationships/externalLink" Id="rId30"/><Relationship Target="worksheets/sheet8.xml" Type="http://schemas.openxmlformats.org/officeDocument/2006/relationships/worksheet" Id="rId8"/></Relationships>
</file>

<file path=xl/externalLinks/_rels/externalLink1.xml.rels><?xml version="1.0" encoding="UTF-8"?><Relationships xmlns="http://schemas.openxmlformats.org/package/2006/relationships"><Relationship TargetMode="External" Target="file:///c:\Users\nb\Documents\GitHub\DGE-METRIC\ExcelFiles\Archive\ModelSimulationandCalibration5Sectorsand1Regions.xlsx" Type="http://schemas.openxmlformats.org/officeDocument/2006/relationships/externalLinkPath" Id="rId2"/><Relationship TargetMode="External" Target="Archive/ModelSimulationandCalibration5Sectorsand1Regions.xlsx" Type="http://schemas.openxmlformats.org/officeDocument/2006/relationships/externalLinkPath" Id="rId1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IO_Data"/>
      <sheetName val="Trade_Flows"/>
      <sheetName val="Data"/>
      <sheetName val="Baseline_Input"/>
      <sheetName val="Baseline_calc"/>
      <sheetName val="Start"/>
      <sheetName val="Structural Parameters"/>
      <sheetName val="Baseline"/>
      <sheetName val="RTS"/>
      <sheetName val="RTS_CapandTrade"/>
      <sheetName val="PDP8_subsidies"/>
      <sheetName val="PDP8_concessional"/>
      <sheetName val="PDP8_conandsub"/>
      <sheetName val="EE_CapandTrade"/>
      <sheetName val="EE"/>
      <sheetName val="NZ"/>
      <sheetName val="NZ_concessional"/>
      <sheetName val="NZ_conandsub"/>
      <sheetName val="NZ_subsidies"/>
      <sheetName val="NZ_constEE"/>
      <sheetName val="NZ_constInt"/>
      <sheetName val="NZ_constEEInt"/>
      <sheetName val="NZ_lowphiK"/>
      <sheetName val="Finance_RG"/>
      <sheetName val="Baseline_test"/>
      <sheetName val="NZCalib"/>
      <sheetName val="BaselineCalib"/>
      <sheetName val="QA_Spel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2</v>
          </cell>
          <cell r="P2">
            <v>4.8790164169432049E-2</v>
          </cell>
        </row>
        <row r="3">
          <cell r="A3">
            <v>3</v>
          </cell>
          <cell r="P3">
            <v>7.8348966410976523E-2</v>
          </cell>
        </row>
        <row r="4">
          <cell r="A4">
            <v>4</v>
          </cell>
          <cell r="P4">
            <v>9.8151593707156273E-2</v>
          </cell>
        </row>
        <row r="5">
          <cell r="A5">
            <v>5</v>
          </cell>
          <cell r="P5">
            <v>0.10810192456032432</v>
          </cell>
        </row>
        <row r="6">
          <cell r="A6">
            <v>6</v>
          </cell>
          <cell r="P6">
            <v>0.10810192456032432</v>
          </cell>
        </row>
        <row r="7">
          <cell r="A7">
            <v>7</v>
          </cell>
          <cell r="P7">
            <v>9.8051588706822929E-2</v>
          </cell>
        </row>
        <row r="8">
          <cell r="A8">
            <v>8</v>
          </cell>
          <cell r="P8">
            <v>7.7848881389303376E-2</v>
          </cell>
        </row>
        <row r="9">
          <cell r="A9">
            <v>9</v>
          </cell>
          <cell r="P9">
            <v>4.7389673904594899E-2</v>
          </cell>
        </row>
        <row r="10">
          <cell r="A10">
            <v>10</v>
          </cell>
          <cell r="P10">
            <v>6.5676793843398454E-3</v>
          </cell>
        </row>
        <row r="11">
          <cell r="A11">
            <v>11</v>
          </cell>
          <cell r="P11">
            <v>-4.4725615003210609E-2</v>
          </cell>
        </row>
        <row r="12">
          <cell r="A12">
            <v>12</v>
          </cell>
          <cell r="P12">
            <v>-0.10660101872129805</v>
          </cell>
        </row>
        <row r="13">
          <cell r="A13">
            <v>13</v>
          </cell>
          <cell r="P13">
            <v>-0.17917171155613346</v>
          </cell>
        </row>
        <row r="14">
          <cell r="A14">
            <v>14</v>
          </cell>
          <cell r="P14">
            <v>-0.26255332049518443</v>
          </cell>
        </row>
        <row r="15">
          <cell r="A15">
            <v>15</v>
          </cell>
          <cell r="P15">
            <v>-0.35686399996642576</v>
          </cell>
        </row>
        <row r="16">
          <cell r="A16">
            <v>16</v>
          </cell>
          <cell r="P16">
            <v>-0.46222451562425199</v>
          </cell>
        </row>
        <row r="17">
          <cell r="A17">
            <v>17</v>
          </cell>
          <cell r="P17">
            <v>-0.57875833188020342</v>
          </cell>
        </row>
        <row r="18">
          <cell r="A18">
            <v>18</v>
          </cell>
          <cell r="P18">
            <v>-0.70659170339008837</v>
          </cell>
        </row>
        <row r="19">
          <cell r="A19">
            <v>19</v>
          </cell>
          <cell r="P19">
            <v>-0.8458537707235958</v>
          </cell>
        </row>
        <row r="20">
          <cell r="A20">
            <v>20</v>
          </cell>
          <cell r="P20">
            <v>-0.99667666045817938</v>
          </cell>
        </row>
        <row r="21">
          <cell r="A21">
            <v>21</v>
          </cell>
          <cell r="P21">
            <v>-1.1591955899559543</v>
          </cell>
        </row>
        <row r="22">
          <cell r="A22">
            <v>22</v>
          </cell>
          <cell r="P22">
            <v>-1.3335489771007318</v>
          </cell>
        </row>
        <row r="23">
          <cell r="A23">
            <v>23</v>
          </cell>
          <cell r="P23">
            <v>-1.3862943611198906</v>
          </cell>
        </row>
        <row r="24">
          <cell r="A24">
            <v>24</v>
          </cell>
          <cell r="P24">
            <v>-1.3862943611198906</v>
          </cell>
        </row>
        <row r="25">
          <cell r="P25">
            <v>-1.3862943611198906</v>
          </cell>
        </row>
        <row r="26">
          <cell r="P26">
            <v>-1.3862943611198906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workbookViewId="0">
      <pane xSplit="4" ySplit="9" topLeftCell="Q76" activePane="bottomRight" state="frozenSplit"/>
      <selection pane="topRight" activeCell="E1" sqref="E1"/>
      <selection pane="bottomLeft" activeCell="A10" sqref="A10"/>
      <selection pane="bottomRight" activeCell="B97" sqref="B97"/>
    </sheetView>
  </sheetViews>
  <sheetFormatPr xmlns:x14ac="http://schemas.microsoft.com/office/spreadsheetml/2009/9/ac" defaultRowHeight="15" x14ac:dyDescent="0.25"/>
  <cols>
    <col min="1" max="1" width="53.5703125" customWidth="true"/>
    <col min="2" max="2" width="18.140625" customWidth="true"/>
    <col min="3" max="3" width="53.140625" customWidth="true"/>
    <col min="4" max="4" width="14.7109375" style="4" customWidth="true"/>
    <col min="6" max="6" width="14.42578125" style="4" customWidth="true"/>
    <col min="13" max="13" width="14.7109375" style="4" customWidth="true"/>
    <col min="24" max="24" width="14.42578125" style="4" customWidth="true"/>
    <col min="25" max="25" width="14.7109375" style="4" customWidth="true"/>
    <col min="29" max="29" width="14.42578125" style="4" customWidth="true"/>
    <col min="30" max="30" width="14.7109375" style="4" customWidth="true"/>
    <col min="5" max="5" width="14.7109375" style="4" customWidth="true"/>
    <col min="7" max="7" width="14.42578125" style="4" customWidth="true"/>
    <col min="8" max="8" width="14.42578125" style="4" customWidth="true"/>
    <col min="9" max="9" width="14.42578125" style="4" customWidth="true"/>
    <col min="10" max="10" width="14.42578125" style="4" customWidth="true"/>
    <col min="11" max="11" width="14.42578125" style="4" customWidth="true"/>
    <col min="12" max="12" width="14.42578125" style="4" customWidth="true"/>
    <col min="14" max="14" width="14.7109375" style="4" customWidth="true"/>
    <col min="15" max="15" width="14.7109375" style="4" customWidth="true"/>
    <col min="16" max="16" width="14.7109375" style="4" customWidth="true"/>
    <col min="17" max="17" width="14.7109375" style="4" customWidth="true"/>
    <col min="18" max="18" width="14.7109375" style="4" customWidth="true"/>
    <col min="19" max="19" width="14.7109375" style="4" customWidth="true"/>
    <col min="20" max="20" width="14.7109375" style="4" customWidth="true"/>
    <col min="21" max="21" width="14.7109375" style="4" customWidth="true"/>
    <col min="22" max="22" width="14.7109375" style="4" customWidth="true"/>
    <col min="23" max="23" width="14.7109375" style="4" customWidth="true"/>
    <col min="26" max="26" width="14.7109375" style="4" customWidth="true"/>
    <col min="27" max="27" width="14.7109375" style="4" customWidth="true"/>
    <col min="28" max="28" width="14.7109375" style="4" customWidth="true"/>
  </cols>
  <sheetData>
    <row xmlns:x14ac="http://schemas.microsoft.com/office/spreadsheetml/2009/9/ac" r="1" ht="18.75" customHeight="true" x14ac:dyDescent="0.3">
      <c r="A1" s="11" t="s">
        <v>20</v>
      </c>
    </row>
    <row xmlns:x14ac="http://schemas.microsoft.com/office/spreadsheetml/2009/9/ac" r="8" x14ac:dyDescent="0.25">
      <c r="A8" s="1" t="s">
        <v>21</v>
      </c>
      <c r="B8" s="1"/>
      <c r="C8" s="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xmlns:x14ac="http://schemas.microsoft.com/office/spreadsheetml/2009/9/ac" r="9" x14ac:dyDescent="0.25">
      <c r="C9" t="s">
        <v>22</v>
      </c>
      <c r="D9" s="6">
        <v>2025</v>
      </c>
      <c r="E9" s="6">
        <v>2026</v>
      </c>
      <c r="F9" s="6">
        <v>2027</v>
      </c>
      <c r="G9" s="6">
        <v>2028</v>
      </c>
      <c r="H9" s="6">
        <v>2029</v>
      </c>
      <c r="I9" s="6">
        <v>2030</v>
      </c>
      <c r="J9" s="6">
        <v>2031</v>
      </c>
      <c r="K9" s="6">
        <v>2032</v>
      </c>
      <c r="L9" s="6">
        <v>2033</v>
      </c>
      <c r="M9" s="6">
        <v>2034</v>
      </c>
      <c r="N9" s="6">
        <v>2035</v>
      </c>
      <c r="O9" s="6">
        <v>2036</v>
      </c>
      <c r="P9" s="6">
        <v>2037</v>
      </c>
      <c r="Q9" s="6">
        <v>2038</v>
      </c>
      <c r="R9" s="6">
        <v>2039</v>
      </c>
      <c r="S9" s="6">
        <v>2040</v>
      </c>
      <c r="T9" s="6">
        <v>2041</v>
      </c>
      <c r="U9" s="6">
        <v>2042</v>
      </c>
      <c r="V9" s="6">
        <v>2043</v>
      </c>
      <c r="W9" s="6">
        <v>2044</v>
      </c>
      <c r="X9" s="6">
        <v>2045</v>
      </c>
      <c r="Y9" s="6">
        <v>2046</v>
      </c>
      <c r="Z9" s="6">
        <v>2047</v>
      </c>
      <c r="AA9" s="6">
        <v>2048</v>
      </c>
      <c r="AB9" s="6">
        <v>2049</v>
      </c>
      <c r="AC9" s="6">
        <v>2050</v>
      </c>
      <c r="AD9" s="6">
        <v>2051</v>
      </c>
    </row>
    <row xmlns:x14ac="http://schemas.microsoft.com/office/spreadsheetml/2009/9/ac" r="10" x14ac:dyDescent="0.25">
      <c r="A10" s="2" t="s">
        <v>23</v>
      </c>
      <c r="B10" s="2"/>
      <c r="C10" s="2"/>
      <c r="D10" s="7">
        <v>1</v>
      </c>
      <c r="E10" s="8">
        <v>1.1000000000000001</v>
      </c>
      <c r="F10" s="8">
        <v>1.1000000000000001</v>
      </c>
      <c r="G10" s="8">
        <v>1.1000000000000001</v>
      </c>
      <c r="H10" s="8">
        <v>1.1000000000000001</v>
      </c>
      <c r="I10" s="8">
        <v>1.1000000000000001</v>
      </c>
      <c r="J10" s="8">
        <v>1.095</v>
      </c>
      <c r="K10" s="8">
        <v>1.0902499999999999</v>
      </c>
      <c r="L10" s="8">
        <v>1.0857375</v>
      </c>
      <c r="M10" s="8">
        <v>1.081450625</v>
      </c>
      <c r="N10" s="8">
        <v>1.0773780937499999</v>
      </c>
      <c r="O10" s="8">
        <v>1.075</v>
      </c>
      <c r="P10" s="8">
        <v>1.075</v>
      </c>
      <c r="Q10" s="8">
        <v>1.075</v>
      </c>
      <c r="R10" s="8">
        <v>1.075</v>
      </c>
      <c r="S10" s="8">
        <v>1.075</v>
      </c>
      <c r="T10" s="8">
        <v>1.075</v>
      </c>
      <c r="U10" s="8">
        <v>1.075</v>
      </c>
      <c r="V10" s="8">
        <v>1.075</v>
      </c>
      <c r="W10" s="8">
        <v>1.075</v>
      </c>
      <c r="X10" s="8">
        <v>1.075</v>
      </c>
      <c r="Y10" s="8">
        <v>1.075</v>
      </c>
      <c r="Z10" s="8">
        <v>1.075</v>
      </c>
      <c r="AA10" s="8">
        <v>1.075</v>
      </c>
      <c r="AB10" s="8">
        <v>1.075</v>
      </c>
      <c r="AC10" s="8">
        <v>1.075</v>
      </c>
      <c r="AD10" s="8">
        <v>1.0764520659540899</v>
      </c>
    </row>
    <row xmlns:x14ac="http://schemas.microsoft.com/office/spreadsheetml/2009/9/ac" r="11" x14ac:dyDescent="0.25">
      <c r="C11" t="s">
        <v>22</v>
      </c>
      <c r="D11" s="9">
        <v>2025</v>
      </c>
      <c r="E11" s="9">
        <v>2026</v>
      </c>
      <c r="F11" s="9">
        <v>2027</v>
      </c>
      <c r="G11" s="9">
        <v>2028</v>
      </c>
      <c r="H11" s="9">
        <v>2029</v>
      </c>
      <c r="I11" s="9">
        <v>2030</v>
      </c>
      <c r="J11" s="9">
        <v>2031</v>
      </c>
      <c r="K11" s="9">
        <v>2032</v>
      </c>
      <c r="L11" s="9">
        <v>2033</v>
      </c>
      <c r="M11" s="9">
        <v>2034</v>
      </c>
      <c r="N11" s="9">
        <v>2035</v>
      </c>
      <c r="O11" s="9">
        <v>2036</v>
      </c>
      <c r="P11" s="9">
        <v>2037</v>
      </c>
      <c r="Q11" s="9">
        <v>2038</v>
      </c>
      <c r="R11" s="9">
        <v>2039</v>
      </c>
      <c r="S11" s="9">
        <v>2040</v>
      </c>
      <c r="T11" s="9">
        <v>2041</v>
      </c>
      <c r="U11" s="9">
        <v>2042</v>
      </c>
      <c r="V11" s="9">
        <v>2043</v>
      </c>
      <c r="W11" s="9">
        <v>2044</v>
      </c>
      <c r="X11" s="9">
        <v>2045</v>
      </c>
      <c r="Y11" s="9">
        <v>2046</v>
      </c>
      <c r="Z11" s="9">
        <v>2047</v>
      </c>
      <c r="AA11" s="9">
        <v>2048</v>
      </c>
      <c r="AB11" s="9">
        <v>2049</v>
      </c>
      <c r="AC11" s="9">
        <v>2050</v>
      </c>
      <c r="AD11" s="9">
        <v>2051</v>
      </c>
    </row>
    <row xmlns:x14ac="http://schemas.microsoft.com/office/spreadsheetml/2009/9/ac" r="12" x14ac:dyDescent="0.25">
      <c r="A12" t="s">
        <v>24</v>
      </c>
      <c r="D12" s="8">
        <v>0.12803192661464841</v>
      </c>
      <c r="E12" s="8">
        <v>0.1224255412917187</v>
      </c>
      <c r="F12" s="8">
        <v>0.116819155968789</v>
      </c>
      <c r="G12" s="8">
        <v>0.1112127706458594</v>
      </c>
      <c r="H12" s="8">
        <v>0.10560638532292969</v>
      </c>
      <c r="I12" s="8">
        <v>0.1</v>
      </c>
      <c r="J12" s="8">
        <v>9.5999999999999988E-2</v>
      </c>
      <c r="K12" s="8">
        <v>9.2000000000000026E-2</v>
      </c>
      <c r="L12" s="8">
        <v>8.7999999999999995E-2</v>
      </c>
      <c r="M12" s="8">
        <v>8.4000000000000019E-2</v>
      </c>
      <c r="N12" s="8">
        <v>8.0000000000000016E-2</v>
      </c>
      <c r="O12" s="8">
        <v>7.6000000000000012E-2</v>
      </c>
      <c r="P12" s="8">
        <v>7.2000000000000022E-2</v>
      </c>
      <c r="Q12" s="8">
        <v>6.8000000000000033E-2</v>
      </c>
      <c r="R12" s="8">
        <v>6.4000000000000029E-2</v>
      </c>
      <c r="S12" s="8">
        <v>6.0000000000000032E-2</v>
      </c>
      <c r="T12" s="8">
        <v>5.6000000000000022E-2</v>
      </c>
      <c r="U12" s="8">
        <v>5.2000000000000032E-2</v>
      </c>
      <c r="V12" s="8">
        <v>4.8000000000000029E-2</v>
      </c>
      <c r="W12" s="8">
        <v>4.4000000000000018E-2</v>
      </c>
      <c r="X12" s="8">
        <v>4.0000000000000029E-2</v>
      </c>
      <c r="Y12" s="8">
        <v>3.6000000000000018E-2</v>
      </c>
      <c r="Z12" s="8">
        <v>3.2000000000000028E-2</v>
      </c>
      <c r="AA12" s="8">
        <v>2.8000000000000028E-2</v>
      </c>
      <c r="AB12" s="8">
        <v>2.4000000000000021E-2</v>
      </c>
      <c r="AC12" s="8">
        <v>2.0000000000000032E-2</v>
      </c>
      <c r="AD12" s="8">
        <v>1.6644184384361448E-2</v>
      </c>
    </row>
    <row xmlns:x14ac="http://schemas.microsoft.com/office/spreadsheetml/2009/9/ac" r="13" x14ac:dyDescent="0.25">
      <c r="A13" t="s">
        <v>25</v>
      </c>
      <c r="D13" s="8">
        <v>5.4360093054356802E-2</v>
      </c>
      <c r="E13" s="8">
        <v>4.9488074443485429E-2</v>
      </c>
      <c r="F13" s="8">
        <v>4.461605583261407E-2</v>
      </c>
      <c r="G13" s="8">
        <v>3.9744037221742717E-2</v>
      </c>
      <c r="H13" s="8">
        <v>3.4872018610871372E-2</v>
      </c>
      <c r="I13" s="8">
        <v>0.03</v>
      </c>
      <c r="J13" s="8">
        <v>2.799999999999999E-2</v>
      </c>
      <c r="K13" s="8">
        <v>2.5999999999999999E-2</v>
      </c>
      <c r="L13" s="8">
        <v>2.4E-2</v>
      </c>
      <c r="M13" s="8">
        <v>2.1999999999999999E-2</v>
      </c>
      <c r="N13" s="8">
        <v>2.0000000000000011E-2</v>
      </c>
      <c r="O13" s="8">
        <v>1.8500000000000009E-2</v>
      </c>
      <c r="P13" s="8">
        <v>1.7000000000000012E-2</v>
      </c>
      <c r="Q13" s="8">
        <v>1.550000000000001E-2</v>
      </c>
      <c r="R13" s="8">
        <v>1.4000000000000011E-2</v>
      </c>
      <c r="S13" s="8">
        <v>1.2500000000000009E-2</v>
      </c>
      <c r="T13" s="8">
        <v>1.2250000000000009E-2</v>
      </c>
      <c r="U13" s="8">
        <v>1.2000000000000011E-2</v>
      </c>
      <c r="V13" s="8">
        <v>1.175000000000001E-2</v>
      </c>
      <c r="W13" s="8">
        <v>1.150000000000001E-2</v>
      </c>
      <c r="X13" s="8">
        <v>1.125000000000001E-2</v>
      </c>
      <c r="Y13" s="8">
        <v>1.100000000000001E-2</v>
      </c>
      <c r="Z13" s="8">
        <v>1.075000000000001E-2</v>
      </c>
      <c r="AA13" s="8">
        <v>1.0500000000000009E-2</v>
      </c>
      <c r="AB13" s="8">
        <v>1.0250000000000011E-2</v>
      </c>
      <c r="AC13" s="8">
        <v>1.0000000000000019E-2</v>
      </c>
      <c r="AD13" s="8">
        <v>9.7429372006018252E-3</v>
      </c>
    </row>
    <row xmlns:x14ac="http://schemas.microsoft.com/office/spreadsheetml/2009/9/ac" r="14" x14ac:dyDescent="0.25">
      <c r="A14" t="s">
        <v>26</v>
      </c>
      <c r="D14" s="8">
        <v>9.7033459674589623E-3</v>
      </c>
      <c r="E14" s="8">
        <v>1.276267677396717E-2</v>
      </c>
      <c r="F14" s="8">
        <v>1.5822007580475379E-2</v>
      </c>
      <c r="G14" s="8">
        <v>1.8881338386983589E-2</v>
      </c>
      <c r="H14" s="8">
        <v>2.1940669193491791E-2</v>
      </c>
      <c r="I14" s="8">
        <v>2.5000000000000001E-2</v>
      </c>
      <c r="J14" s="8">
        <v>2.5499999999999998E-2</v>
      </c>
      <c r="K14" s="8">
        <v>2.5999999999999999E-2</v>
      </c>
      <c r="L14" s="8">
        <v>2.6499999999999999E-2</v>
      </c>
      <c r="M14" s="8">
        <v>2.7E-2</v>
      </c>
      <c r="N14" s="8">
        <v>2.75E-2</v>
      </c>
      <c r="O14" s="8">
        <v>2.76E-2</v>
      </c>
      <c r="P14" s="8">
        <v>2.7699999999999999E-2</v>
      </c>
      <c r="Q14" s="8">
        <v>2.7800000000000009E-2</v>
      </c>
      <c r="R14" s="8">
        <v>2.7900000000000001E-2</v>
      </c>
      <c r="S14" s="8">
        <v>2.8000000000000001E-2</v>
      </c>
      <c r="T14" s="8">
        <v>2.8199999999999999E-2</v>
      </c>
      <c r="U14" s="8">
        <v>2.8400000000000002E-2</v>
      </c>
      <c r="V14" s="8">
        <v>2.8600000000000011E-2</v>
      </c>
      <c r="W14" s="8">
        <v>2.8799999999999999E-2</v>
      </c>
      <c r="X14" s="8">
        <v>2.9000000000000001E-2</v>
      </c>
      <c r="Y14" s="8">
        <v>2.92E-2</v>
      </c>
      <c r="Z14" s="8">
        <v>2.9400000000000009E-2</v>
      </c>
      <c r="AA14" s="8">
        <v>2.9600000000000001E-2</v>
      </c>
      <c r="AB14" s="8">
        <v>2.9800000000000011E-2</v>
      </c>
      <c r="AC14" s="8">
        <v>3.000000000000002E-2</v>
      </c>
      <c r="AD14" s="8">
        <v>3.0160602575688499E-2</v>
      </c>
    </row>
    <row xmlns:x14ac="http://schemas.microsoft.com/office/spreadsheetml/2009/9/ac" r="15" x14ac:dyDescent="0.25">
      <c r="A15" t="s">
        <v>27</v>
      </c>
      <c r="D15" s="8">
        <v>0.32825395486111358</v>
      </c>
      <c r="E15" s="8">
        <v>0.34260316388889089</v>
      </c>
      <c r="F15" s="8">
        <v>0.35695237291666809</v>
      </c>
      <c r="G15" s="8">
        <v>0.37130158194444551</v>
      </c>
      <c r="H15" s="8">
        <v>0.38565079097222271</v>
      </c>
      <c r="I15" s="8">
        <v>0.4</v>
      </c>
      <c r="J15" s="8">
        <v>0.38565079097222282</v>
      </c>
      <c r="K15" s="8">
        <v>0.37130158194444562</v>
      </c>
      <c r="L15" s="8">
        <v>0.3569523729166682</v>
      </c>
      <c r="M15" s="8">
        <v>0.34260316388889112</v>
      </c>
      <c r="N15" s="8">
        <v>0.32825395486111369</v>
      </c>
      <c r="O15" s="8">
        <v>0.32760316388889099</v>
      </c>
      <c r="P15" s="8">
        <v>0.32695237291666818</v>
      </c>
      <c r="Q15" s="8">
        <v>0.32630158194444547</v>
      </c>
      <c r="R15" s="8">
        <v>0.32565079097222283</v>
      </c>
      <c r="S15" s="8">
        <v>0.32500000000000012</v>
      </c>
      <c r="T15" s="8">
        <v>0.32000000000000012</v>
      </c>
      <c r="U15" s="8">
        <v>0.31500000000000011</v>
      </c>
      <c r="V15" s="8">
        <v>0.31000000000000011</v>
      </c>
      <c r="W15" s="8">
        <v>0.30499999999999999</v>
      </c>
      <c r="X15" s="8">
        <v>0.3000000000000001</v>
      </c>
      <c r="Y15" s="8">
        <v>0.29000000000000009</v>
      </c>
      <c r="Z15" s="8">
        <v>0.28000000000000008</v>
      </c>
      <c r="AA15" s="8">
        <v>0.27000000000000018</v>
      </c>
      <c r="AB15" s="8">
        <v>0.26000000000000012</v>
      </c>
      <c r="AC15" s="8">
        <v>0.25000000000000022</v>
      </c>
      <c r="AD15" s="8">
        <v>0.24006035169752071</v>
      </c>
    </row>
    <row xmlns:x14ac="http://schemas.microsoft.com/office/spreadsheetml/2009/9/ac" r="16" x14ac:dyDescent="0.25">
      <c r="A16" t="s">
        <v>28</v>
      </c>
      <c r="D16" s="8">
        <v>0.47965067950242218</v>
      </c>
      <c r="E16" s="8">
        <v>0.47272054360193788</v>
      </c>
      <c r="F16" s="8">
        <v>0.46579040770145341</v>
      </c>
      <c r="G16" s="8">
        <v>0.45886027180096889</v>
      </c>
      <c r="H16" s="8">
        <v>0.45193013590048442</v>
      </c>
      <c r="I16" s="8">
        <v>0.44500000000000001</v>
      </c>
      <c r="J16" s="8">
        <v>0.46484920902777721</v>
      </c>
      <c r="K16" s="8">
        <v>0.48469841805555441</v>
      </c>
      <c r="L16" s="8">
        <v>0.50454762708333178</v>
      </c>
      <c r="M16" s="8">
        <v>0.52439683611110899</v>
      </c>
      <c r="N16" s="8">
        <v>0.5442460451388863</v>
      </c>
      <c r="O16" s="8">
        <v>0.55029683611110902</v>
      </c>
      <c r="P16" s="8">
        <v>0.55634762708333174</v>
      </c>
      <c r="Q16" s="8">
        <v>0.56239841805555446</v>
      </c>
      <c r="R16" s="8">
        <v>0.56844920902777707</v>
      </c>
      <c r="S16" s="8">
        <v>0.57449999999999979</v>
      </c>
      <c r="T16" s="8">
        <v>0.5835499999999999</v>
      </c>
      <c r="U16" s="8">
        <v>0.59259999999999979</v>
      </c>
      <c r="V16" s="8">
        <v>0.60164999999999991</v>
      </c>
      <c r="W16" s="8">
        <v>0.61069999999999991</v>
      </c>
      <c r="X16" s="8">
        <v>0.61974999999999991</v>
      </c>
      <c r="Y16" s="8">
        <v>0.63379999999999981</v>
      </c>
      <c r="Z16" s="8">
        <v>0.64784999999999981</v>
      </c>
      <c r="AA16" s="8">
        <v>0.66189999999999971</v>
      </c>
      <c r="AB16" s="8">
        <v>0.67594999999999983</v>
      </c>
      <c r="AC16" s="8">
        <v>0.68999999999999984</v>
      </c>
      <c r="AD16" s="8">
        <v>0.7033919241418275</v>
      </c>
    </row>
    <row xmlns:x14ac="http://schemas.microsoft.com/office/spreadsheetml/2009/9/ac" r="18" x14ac:dyDescent="0.25">
      <c r="A18" t="s">
        <v>29</v>
      </c>
      <c r="D18" s="4">
        <v>1</v>
      </c>
      <c r="E18" s="4">
        <v>0.99999999999999989</v>
      </c>
      <c r="F18" s="4">
        <v>1</v>
      </c>
      <c r="G18" s="4">
        <v>0.99999999999999989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0.99999999999999978</v>
      </c>
      <c r="AC18" s="4">
        <v>1</v>
      </c>
      <c r="AD18" s="4">
        <v>1.0013823444094601</v>
      </c>
    </row>
    <row xmlns:x14ac="http://schemas.microsoft.com/office/spreadsheetml/2009/9/ac" r="19" x14ac:dyDescent="0.25">
      <c r="C19" t="s">
        <v>22</v>
      </c>
      <c r="D19" s="4">
        <v>2025</v>
      </c>
      <c r="E19" s="4">
        <v>2026</v>
      </c>
      <c r="F19" s="4">
        <v>2027</v>
      </c>
      <c r="G19" s="4">
        <v>2028</v>
      </c>
      <c r="H19" s="4">
        <v>2029</v>
      </c>
      <c r="I19" s="4">
        <v>2030</v>
      </c>
      <c r="J19" s="4">
        <v>2031</v>
      </c>
      <c r="K19" s="4">
        <v>2032</v>
      </c>
      <c r="L19" s="4">
        <v>2033</v>
      </c>
      <c r="M19" s="4">
        <v>2034</v>
      </c>
      <c r="N19" s="4">
        <v>2035</v>
      </c>
      <c r="O19" s="4">
        <v>2036</v>
      </c>
      <c r="P19" s="4">
        <v>2037</v>
      </c>
      <c r="Q19" s="4">
        <v>2038</v>
      </c>
      <c r="R19" s="4">
        <v>2039</v>
      </c>
      <c r="S19" s="4">
        <v>2040</v>
      </c>
      <c r="T19" s="4">
        <v>2041</v>
      </c>
      <c r="U19" s="4">
        <v>2042</v>
      </c>
      <c r="V19" s="4">
        <v>2043</v>
      </c>
      <c r="W19" s="4">
        <v>2044</v>
      </c>
      <c r="X19" s="4">
        <v>2045</v>
      </c>
      <c r="Y19" s="4">
        <v>2046</v>
      </c>
      <c r="Z19" s="4">
        <v>2047</v>
      </c>
      <c r="AA19" s="4">
        <v>2048</v>
      </c>
      <c r="AB19" s="4">
        <v>2049</v>
      </c>
      <c r="AC19" s="4">
        <v>2050</v>
      </c>
      <c r="AD19" s="4">
        <v>2051</v>
      </c>
    </row>
    <row xmlns:x14ac="http://schemas.microsoft.com/office/spreadsheetml/2009/9/ac" r="20" x14ac:dyDescent="0.25">
      <c r="A20" t="s">
        <v>30</v>
      </c>
      <c r="D20" s="4">
        <v>0.18421936911787179</v>
      </c>
      <c r="E20" s="4">
        <v>0.16737549529429749</v>
      </c>
      <c r="F20" s="4">
        <v>0.1505316214707231</v>
      </c>
      <c r="G20" s="4">
        <v>0.13368774764714869</v>
      </c>
      <c r="H20" s="4">
        <v>0.1168438738235744</v>
      </c>
      <c r="I20" s="4">
        <v>0.1</v>
      </c>
      <c r="J20" s="4">
        <v>0.1168438738235744</v>
      </c>
      <c r="K20" s="4">
        <v>0.13368774764714869</v>
      </c>
      <c r="L20" s="4">
        <v>0.1505316214707231</v>
      </c>
      <c r="M20" s="4">
        <v>0.16737549529429741</v>
      </c>
      <c r="N20" s="4">
        <v>0.18421936911787179</v>
      </c>
      <c r="O20" s="4">
        <v>0.15937549529429751</v>
      </c>
      <c r="P20" s="4">
        <v>0.13453162147072309</v>
      </c>
      <c r="Q20" s="4">
        <v>0.1096877476471487</v>
      </c>
      <c r="R20" s="4">
        <v>8.4843873823574362E-2</v>
      </c>
      <c r="S20" s="4">
        <v>0.06</v>
      </c>
      <c r="T20" s="4">
        <v>5.5999999999999987E-2</v>
      </c>
      <c r="U20" s="4">
        <v>5.1999999999999998E-2</v>
      </c>
      <c r="V20" s="4">
        <v>4.8000000000000001E-2</v>
      </c>
      <c r="W20" s="4">
        <v>4.3999999999999997E-2</v>
      </c>
      <c r="X20" s="4">
        <v>0.04</v>
      </c>
      <c r="Y20" s="4">
        <v>3.5999999999999997E-2</v>
      </c>
      <c r="Z20" s="4">
        <v>3.2000000000000001E-2</v>
      </c>
      <c r="AA20" s="4">
        <v>2.8000000000000001E-2</v>
      </c>
      <c r="AB20" s="4">
        <v>2.4E-2</v>
      </c>
      <c r="AC20" s="4">
        <v>0.02</v>
      </c>
      <c r="AD20" s="4">
        <v>1.6643659397146071E-2</v>
      </c>
    </row>
    <row xmlns:x14ac="http://schemas.microsoft.com/office/spreadsheetml/2009/9/ac" r="21" x14ac:dyDescent="0.25">
      <c r="A21" t="s">
        <v>31</v>
      </c>
      <c r="D21" s="4">
        <v>2.900136489382258E-2</v>
      </c>
      <c r="E21" s="4">
        <v>2.7201091915058061E-2</v>
      </c>
      <c r="F21" s="4">
        <v>2.5400818936293559E-2</v>
      </c>
      <c r="G21" s="4">
        <v>2.3600545957529039E-2</v>
      </c>
      <c r="H21" s="4">
        <v>2.180027297876452E-2</v>
      </c>
      <c r="I21" s="4">
        <v>0.02</v>
      </c>
      <c r="J21" s="4">
        <v>2.180027297876452E-2</v>
      </c>
      <c r="K21" s="4">
        <v>2.3600545957529029E-2</v>
      </c>
      <c r="L21" s="4">
        <v>2.5400818936293559E-2</v>
      </c>
      <c r="M21" s="4">
        <v>2.7201091915058061E-2</v>
      </c>
      <c r="N21" s="4">
        <v>2.900136489382258E-2</v>
      </c>
      <c r="O21" s="4">
        <v>2.570109191505807E-2</v>
      </c>
      <c r="P21" s="4">
        <v>2.2400818936293549E-2</v>
      </c>
      <c r="Q21" s="4">
        <v>1.9100545957529039E-2</v>
      </c>
      <c r="R21" s="4">
        <v>1.5800272978764521E-2</v>
      </c>
      <c r="S21" s="4">
        <v>1.2500000000000001E-2</v>
      </c>
      <c r="T21" s="4">
        <v>1.2E-2</v>
      </c>
      <c r="U21" s="4">
        <v>1.150000000000001E-2</v>
      </c>
      <c r="V21" s="4">
        <v>1.0999999999999999E-2</v>
      </c>
      <c r="W21" s="4">
        <v>1.0500000000000001E-2</v>
      </c>
      <c r="X21" s="4">
        <v>0.01</v>
      </c>
      <c r="Y21" s="4">
        <v>9.5000000000000032E-3</v>
      </c>
      <c r="Z21" s="4">
        <v>9.0000000000000028E-3</v>
      </c>
      <c r="AA21" s="4">
        <v>8.5000000000000006E-3</v>
      </c>
      <c r="AB21" s="4">
        <v>8.0000000000000036E-3</v>
      </c>
      <c r="AC21" s="4">
        <v>7.5000000000000032E-3</v>
      </c>
      <c r="AD21" s="4">
        <v>7.0215438081709996E-3</v>
      </c>
    </row>
    <row xmlns:x14ac="http://schemas.microsoft.com/office/spreadsheetml/2009/9/ac" r="22" x14ac:dyDescent="0.25">
      <c r="A22" s="2" t="s">
        <v>32</v>
      </c>
      <c r="B22" s="2"/>
      <c r="C22" s="2"/>
      <c r="D22" s="7">
        <v>3.365228316885367E-3</v>
      </c>
      <c r="E22" s="8">
        <v>6.6921826535082949E-3</v>
      </c>
      <c r="F22" s="8">
        <v>1.001913699013122E-2</v>
      </c>
      <c r="G22" s="8">
        <v>1.3346091326754151E-2</v>
      </c>
      <c r="H22" s="8">
        <v>1.667304566337708E-2</v>
      </c>
      <c r="I22" s="8">
        <v>0.02</v>
      </c>
      <c r="J22" s="8">
        <v>1.6673045663377069E-2</v>
      </c>
      <c r="K22" s="8">
        <v>1.3346091326754151E-2</v>
      </c>
      <c r="L22" s="8">
        <v>1.001913699013122E-2</v>
      </c>
      <c r="M22" s="8">
        <v>6.6921826535082949E-3</v>
      </c>
      <c r="N22" s="8">
        <v>3.365228316885367E-3</v>
      </c>
      <c r="O22" s="8">
        <v>8.1921826535082936E-3</v>
      </c>
      <c r="P22" s="8">
        <v>1.3019136990131221E-2</v>
      </c>
      <c r="Q22" s="8">
        <v>1.7846091326754149E-2</v>
      </c>
      <c r="R22" s="8">
        <v>2.2673045663377071E-2</v>
      </c>
      <c r="S22" s="8">
        <v>2.75E-2</v>
      </c>
      <c r="T22" s="8">
        <v>2.8000000000000001E-2</v>
      </c>
      <c r="U22" s="8">
        <v>2.8500000000000001E-2</v>
      </c>
      <c r="V22" s="8">
        <v>2.9000000000000001E-2</v>
      </c>
      <c r="W22" s="8">
        <v>2.9499999999999992E-2</v>
      </c>
      <c r="X22" s="8">
        <v>2.9999999999999988E-2</v>
      </c>
      <c r="Y22" s="8">
        <v>3.1E-2</v>
      </c>
      <c r="Z22" s="8">
        <v>3.1999999999999987E-2</v>
      </c>
      <c r="AA22" s="8">
        <v>3.2999999999999988E-2</v>
      </c>
      <c r="AB22" s="8">
        <v>3.4000000000000002E-2</v>
      </c>
      <c r="AC22" s="8">
        <v>3.5000000000000003E-2</v>
      </c>
      <c r="AD22" s="8">
        <v>3.5979675461477532E-2</v>
      </c>
    </row>
    <row xmlns:x14ac="http://schemas.microsoft.com/office/spreadsheetml/2009/9/ac" r="23" x14ac:dyDescent="0.25">
      <c r="A23" t="s">
        <v>33</v>
      </c>
      <c r="D23" s="9">
        <v>0.35574793972964969</v>
      </c>
      <c r="E23" s="9">
        <v>0.35459835178371979</v>
      </c>
      <c r="F23" s="9">
        <v>0.35344876383778978</v>
      </c>
      <c r="G23" s="9">
        <v>0.35229917589185988</v>
      </c>
      <c r="H23" s="9">
        <v>0.35114958794592999</v>
      </c>
      <c r="I23" s="9">
        <v>0.35</v>
      </c>
      <c r="J23" s="9">
        <v>0.35114958794592999</v>
      </c>
      <c r="K23" s="9">
        <v>0.35229917589185988</v>
      </c>
      <c r="L23" s="9">
        <v>0.35344876383778978</v>
      </c>
      <c r="M23" s="9">
        <v>0.35459835178371979</v>
      </c>
      <c r="N23" s="9">
        <v>0.35574793972964969</v>
      </c>
      <c r="O23" s="9">
        <v>0.34959835178371979</v>
      </c>
      <c r="P23" s="9">
        <v>0.34344876383778977</v>
      </c>
      <c r="Q23" s="9">
        <v>0.33729917589185993</v>
      </c>
      <c r="R23" s="9">
        <v>0.33114958794593002</v>
      </c>
      <c r="S23" s="9">
        <v>0.32500000000000012</v>
      </c>
      <c r="T23" s="9">
        <v>0.32000000000000012</v>
      </c>
      <c r="U23" s="9">
        <v>0.31500000000000011</v>
      </c>
      <c r="V23" s="9">
        <v>0.31</v>
      </c>
      <c r="W23" s="9">
        <v>0.30499999999999999</v>
      </c>
      <c r="X23" s="9">
        <v>0.3</v>
      </c>
      <c r="Y23" s="9">
        <v>0.28999999999999998</v>
      </c>
      <c r="Z23" s="9">
        <v>0.28000000000000003</v>
      </c>
      <c r="AA23" s="9">
        <v>0.27</v>
      </c>
      <c r="AB23" s="9">
        <v>0.26000000000000012</v>
      </c>
      <c r="AC23" s="9">
        <v>0.25000000000000011</v>
      </c>
      <c r="AD23" s="9">
        <v>0.24005277976652989</v>
      </c>
    </row>
    <row xmlns:x14ac="http://schemas.microsoft.com/office/spreadsheetml/2009/9/ac" r="24" x14ac:dyDescent="0.25">
      <c r="A24" t="s">
        <v>34</v>
      </c>
      <c r="D24" s="8">
        <v>0.42766609794177057</v>
      </c>
      <c r="E24" s="8">
        <v>0.44413287835341642</v>
      </c>
      <c r="F24" s="8">
        <v>0.46059965876506231</v>
      </c>
      <c r="G24" s="8">
        <v>0.47706643917670821</v>
      </c>
      <c r="H24" s="8">
        <v>0.493533219588354</v>
      </c>
      <c r="I24" s="8">
        <v>0.51</v>
      </c>
      <c r="J24" s="8">
        <v>0.49353321958835411</v>
      </c>
      <c r="K24" s="8">
        <v>0.47706643917670821</v>
      </c>
      <c r="L24" s="8">
        <v>0.46059965876506231</v>
      </c>
      <c r="M24" s="8">
        <v>0.44413287835341642</v>
      </c>
      <c r="N24" s="8">
        <v>0.42766609794177052</v>
      </c>
      <c r="O24" s="8">
        <v>0.45713287835341648</v>
      </c>
      <c r="P24" s="8">
        <v>0.48659965876506228</v>
      </c>
      <c r="Q24" s="8">
        <v>0.51606643917670814</v>
      </c>
      <c r="R24" s="8">
        <v>0.5455332195883541</v>
      </c>
      <c r="S24" s="8">
        <v>0.57499999999999996</v>
      </c>
      <c r="T24" s="8">
        <v>0.58399999999999996</v>
      </c>
      <c r="U24" s="8">
        <v>0.59299999999999997</v>
      </c>
      <c r="V24" s="8">
        <v>0.60199999999999998</v>
      </c>
      <c r="W24" s="8">
        <v>0.61099999999999999</v>
      </c>
      <c r="X24" s="8">
        <v>0.62</v>
      </c>
      <c r="Y24" s="8">
        <v>0.63349999999999995</v>
      </c>
      <c r="Z24" s="8">
        <v>0.64700000000000002</v>
      </c>
      <c r="AA24" s="8">
        <v>0.66049999999999998</v>
      </c>
      <c r="AB24" s="8">
        <v>0.67400000000000004</v>
      </c>
      <c r="AC24" s="8">
        <v>0.6875</v>
      </c>
      <c r="AD24" s="8">
        <v>0.70030234156667548</v>
      </c>
    </row>
    <row xmlns:x14ac="http://schemas.microsoft.com/office/spreadsheetml/2009/9/ac" r="25" x14ac:dyDescent="0.2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xmlns:x14ac="http://schemas.microsoft.com/office/spreadsheetml/2009/9/ac" r="26" x14ac:dyDescent="0.2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xmlns:x14ac="http://schemas.microsoft.com/office/spreadsheetml/2009/9/ac" r="27" x14ac:dyDescent="0.25">
      <c r="A27" t="s">
        <v>35</v>
      </c>
      <c r="C27" t="s">
        <v>22</v>
      </c>
      <c r="D27" s="8">
        <v>2025</v>
      </c>
      <c r="E27" s="8">
        <v>2026</v>
      </c>
      <c r="F27" s="8">
        <v>2027</v>
      </c>
      <c r="G27" s="8">
        <v>2028</v>
      </c>
      <c r="H27" s="8">
        <v>2029</v>
      </c>
      <c r="I27" s="8">
        <v>2030</v>
      </c>
      <c r="J27" s="8">
        <v>2031</v>
      </c>
      <c r="K27" s="8">
        <v>2032</v>
      </c>
      <c r="L27" s="8">
        <v>2033</v>
      </c>
      <c r="M27" s="8">
        <v>2034</v>
      </c>
      <c r="N27" s="8">
        <v>2035</v>
      </c>
      <c r="O27" s="8">
        <v>2036</v>
      </c>
      <c r="P27" s="8">
        <v>2037</v>
      </c>
      <c r="Q27" s="8">
        <v>2038</v>
      </c>
      <c r="R27" s="8">
        <v>2039</v>
      </c>
      <c r="S27" s="8">
        <v>2040</v>
      </c>
      <c r="T27" s="8">
        <v>2041</v>
      </c>
      <c r="U27" s="8">
        <v>2042</v>
      </c>
      <c r="V27" s="8">
        <v>2043</v>
      </c>
      <c r="W27" s="8">
        <v>2044</v>
      </c>
      <c r="X27" s="8">
        <v>2045</v>
      </c>
      <c r="Y27" s="8">
        <v>2046</v>
      </c>
      <c r="Z27" s="8">
        <v>2047</v>
      </c>
      <c r="AA27" s="8">
        <v>2048</v>
      </c>
      <c r="AB27" s="8">
        <v>2049</v>
      </c>
      <c r="AC27" s="8">
        <v>2050</v>
      </c>
      <c r="AD27" s="8">
        <v>2051</v>
      </c>
    </row>
    <row xmlns:x14ac="http://schemas.microsoft.com/office/spreadsheetml/2009/9/ac" r="28" x14ac:dyDescent="0.25">
      <c r="A28" t="s">
        <v>36</v>
      </c>
      <c r="B28" t="s">
        <v>37</v>
      </c>
      <c r="C28" t="s">
        <v>4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</row>
    <row xmlns:x14ac="http://schemas.microsoft.com/office/spreadsheetml/2009/9/ac" r="29" x14ac:dyDescent="0.25">
      <c r="A29" t="s">
        <v>38</v>
      </c>
      <c r="B29" t="s">
        <v>39</v>
      </c>
      <c r="C29" t="s">
        <v>4</v>
      </c>
      <c r="D29" s="4">
        <v>1</v>
      </c>
      <c r="E29" s="4">
        <v>1.05</v>
      </c>
      <c r="F29" s="4">
        <v>1.0814999999999999</v>
      </c>
      <c r="G29" s="4">
        <v>1.1031299999999999</v>
      </c>
      <c r="H29" s="4">
        <v>1.1141612999999999</v>
      </c>
      <c r="I29" s="4">
        <v>1.1141612999999999</v>
      </c>
      <c r="J29" s="4">
        <v>1.103019687</v>
      </c>
      <c r="K29" s="4">
        <v>1.0809592932600001</v>
      </c>
      <c r="L29" s="4">
        <v>1.0485305144621999</v>
      </c>
      <c r="M29" s="4">
        <v>1.006589293883712</v>
      </c>
      <c r="N29" s="4">
        <v>0.95625982918952668</v>
      </c>
      <c r="O29" s="4">
        <v>0.8988842394381551</v>
      </c>
      <c r="P29" s="4">
        <v>0.83596234267748426</v>
      </c>
      <c r="Q29" s="4">
        <v>0.76908535526328559</v>
      </c>
      <c r="R29" s="4">
        <v>0.69986767328958988</v>
      </c>
      <c r="S29" s="4">
        <v>0.62988090596063095</v>
      </c>
      <c r="T29" s="4">
        <v>0.56059400630496159</v>
      </c>
      <c r="U29" s="4">
        <v>0.4933227255483662</v>
      </c>
      <c r="V29" s="4">
        <v>0.42919077122707872</v>
      </c>
      <c r="W29" s="4">
        <v>0.36910406325528772</v>
      </c>
      <c r="X29" s="4">
        <v>0.31373845376699461</v>
      </c>
      <c r="Y29" s="4">
        <v>0.26354030116427551</v>
      </c>
      <c r="Z29" s="4">
        <v>0.25</v>
      </c>
      <c r="AA29" s="4">
        <v>0.25</v>
      </c>
      <c r="AB29" s="4">
        <v>0.25</v>
      </c>
      <c r="AC29" s="4">
        <v>0.25</v>
      </c>
      <c r="AD29" s="4">
        <v>0.25</v>
      </c>
    </row>
    <row xmlns:x14ac="http://schemas.microsoft.com/office/spreadsheetml/2009/9/ac" r="30" x14ac:dyDescent="0.25">
      <c r="A30" t="s">
        <v>40</v>
      </c>
      <c r="B30" t="s">
        <v>41</v>
      </c>
      <c r="C30" t="s">
        <v>4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</row>
    <row xmlns:x14ac="http://schemas.microsoft.com/office/spreadsheetml/2009/9/ac" r="31" x14ac:dyDescent="0.25">
      <c r="A31" t="s">
        <v>42</v>
      </c>
      <c r="B31" t="s">
        <v>43</v>
      </c>
      <c r="C31" t="s">
        <v>4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</row>
    <row xmlns:x14ac="http://schemas.microsoft.com/office/spreadsheetml/2009/9/ac" r="32" x14ac:dyDescent="0.25">
      <c r="A32" t="s">
        <v>44</v>
      </c>
      <c r="B32" t="s">
        <v>45</v>
      </c>
      <c r="C32" t="s">
        <v>4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</row>
    <row xmlns:x14ac="http://schemas.microsoft.com/office/spreadsheetml/2009/9/ac" r="34" x14ac:dyDescent="0.25">
      <c r="A34" t="s">
        <v>15</v>
      </c>
      <c r="B34" t="s">
        <v>16</v>
      </c>
      <c r="C34" t="s">
        <v>4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0.98357233960960255</v>
      </c>
      <c r="O34" s="4">
        <v>0.96741454724510745</v>
      </c>
      <c r="P34" s="4">
        <v>0.95152218960623469</v>
      </c>
      <c r="Q34" s="4">
        <v>0.93589090622145621</v>
      </c>
      <c r="R34" s="4">
        <v>0.92051640825158887</v>
      </c>
      <c r="S34" s="4">
        <v>0.90539447731304334</v>
      </c>
      <c r="T34" s="4">
        <v>0.89052096432040329</v>
      </c>
      <c r="U34" s="4">
        <v>0.87589178834801851</v>
      </c>
      <c r="V34" s="4">
        <v>0.86150293551029944</v>
      </c>
      <c r="W34" s="4">
        <v>0.84735045786040575</v>
      </c>
      <c r="X34" s="4">
        <v>0.83343047230702727</v>
      </c>
      <c r="Y34" s="4">
        <v>0.81973915954895893</v>
      </c>
      <c r="Z34" s="4">
        <v>0.80627276302717887</v>
      </c>
      <c r="AA34" s="4">
        <v>0.79302758789414096</v>
      </c>
      <c r="AB34" s="4">
        <v>0.78</v>
      </c>
      <c r="AC34" s="4">
        <v>0.76718642489549005</v>
      </c>
      <c r="AD34" s="4">
        <v>0.76718642489549005</v>
      </c>
    </row>
    <row xmlns:x14ac="http://schemas.microsoft.com/office/spreadsheetml/2009/9/ac" r="35" x14ac:dyDescent="0.25">
      <c r="A35" t="s">
        <v>18</v>
      </c>
      <c r="B35" t="s">
        <v>19</v>
      </c>
      <c r="C35" t="s">
        <v>4</v>
      </c>
      <c r="D35" s="4">
        <v>0.25</v>
      </c>
      <c r="E35" s="4">
        <v>6.25E-2</v>
      </c>
      <c r="F35" s="4">
        <v>1.5625E-2</v>
      </c>
      <c r="G35" s="4">
        <v>3.90625E-3</v>
      </c>
      <c r="H35" s="4">
        <v>1E-3</v>
      </c>
      <c r="I35" s="4">
        <v>1E-3</v>
      </c>
      <c r="J35" s="4">
        <v>1E-3</v>
      </c>
      <c r="K35" s="4">
        <v>1E-3</v>
      </c>
      <c r="L35" s="4">
        <v>1E-3</v>
      </c>
      <c r="M35" s="4">
        <v>1E-3</v>
      </c>
      <c r="N35" s="4">
        <v>1E-3</v>
      </c>
      <c r="O35" s="4">
        <v>1E-3</v>
      </c>
      <c r="P35" s="4">
        <v>1E-3</v>
      </c>
      <c r="Q35" s="4">
        <v>1E-3</v>
      </c>
      <c r="R35" s="4">
        <v>1E-3</v>
      </c>
      <c r="S35" s="4">
        <v>1E-3</v>
      </c>
      <c r="T35" s="4">
        <v>1E-3</v>
      </c>
      <c r="U35" s="4">
        <v>1E-3</v>
      </c>
      <c r="V35" s="4">
        <v>1E-3</v>
      </c>
      <c r="W35" s="4">
        <v>1E-3</v>
      </c>
      <c r="X35" s="4">
        <v>1E-3</v>
      </c>
      <c r="Y35" s="4">
        <v>1E-3</v>
      </c>
      <c r="Z35" s="4">
        <v>1E-3</v>
      </c>
      <c r="AA35" s="4">
        <v>1E-3</v>
      </c>
      <c r="AB35" s="4">
        <v>1E-3</v>
      </c>
      <c r="AC35" s="4">
        <v>1E-3</v>
      </c>
      <c r="AD35" s="4">
        <v>1E-3</v>
      </c>
    </row>
    <row xmlns:x14ac="http://schemas.microsoft.com/office/spreadsheetml/2009/9/ac" r="36" x14ac:dyDescent="0.25">
      <c r="A36" t="s">
        <v>46</v>
      </c>
      <c r="B36" t="s">
        <v>47</v>
      </c>
      <c r="C36" t="s">
        <v>13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</row>
    <row xmlns:x14ac="http://schemas.microsoft.com/office/spreadsheetml/2009/9/ac" r="37" x14ac:dyDescent="0.25">
      <c r="A37" t="s">
        <v>48</v>
      </c>
      <c r="B37" s="0" t="s">
        <v>3</v>
      </c>
      <c r="C37" s="0" t="s">
        <v>4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0.98611111111111116</v>
      </c>
      <c r="K37" s="4">
        <v>0.97222222222222221</v>
      </c>
      <c r="L37" s="4">
        <v>0.95833333333333337</v>
      </c>
      <c r="M37" s="4">
        <v>0.94444444444444442</v>
      </c>
      <c r="N37" s="4">
        <v>0.93055555555555558</v>
      </c>
      <c r="O37" s="4">
        <v>0.91666666666666663</v>
      </c>
      <c r="P37" s="4">
        <v>0.90277777777777779</v>
      </c>
      <c r="Q37" s="4">
        <v>0.88888888888888884</v>
      </c>
      <c r="R37" s="4">
        <v>0.875</v>
      </c>
      <c r="S37" s="4">
        <v>0.86111111111111116</v>
      </c>
      <c r="T37" s="4">
        <v>0.84722222222222221</v>
      </c>
      <c r="U37" s="4">
        <v>0.83333333333333337</v>
      </c>
      <c r="V37" s="4">
        <v>0.81944444444444442</v>
      </c>
      <c r="W37" s="4">
        <v>0.80555555555555558</v>
      </c>
      <c r="X37" s="4">
        <v>0.79166666666666663</v>
      </c>
      <c r="Y37" s="4">
        <v>0.77777777777777779</v>
      </c>
      <c r="Z37" s="4">
        <v>0.76388888888888884</v>
      </c>
      <c r="AA37" s="4">
        <v>0.75</v>
      </c>
      <c r="AB37" s="4">
        <v>0.73611111111111116</v>
      </c>
      <c r="AC37" s="4">
        <v>0.72222222222222221</v>
      </c>
      <c r="AD37" s="4">
        <v>0.70833333333333337</v>
      </c>
    </row>
    <row xmlns:x14ac="http://schemas.microsoft.com/office/spreadsheetml/2009/9/ac" r="39" x14ac:dyDescent="0.25">
      <c r="A39" s="2" t="s">
        <v>49</v>
      </c>
      <c r="B39" s="2"/>
      <c r="C39" s="2" t="s">
        <v>22</v>
      </c>
      <c r="D39" s="10">
        <v>2025</v>
      </c>
      <c r="E39" s="9">
        <v>2026</v>
      </c>
      <c r="F39" s="9">
        <v>2027</v>
      </c>
      <c r="G39" s="9">
        <v>2028</v>
      </c>
      <c r="H39" s="9">
        <v>2029</v>
      </c>
      <c r="I39" s="9">
        <v>2030</v>
      </c>
      <c r="J39" s="9">
        <v>2031</v>
      </c>
      <c r="K39" s="9">
        <v>2032</v>
      </c>
      <c r="L39" s="9">
        <v>2033</v>
      </c>
      <c r="M39" s="9">
        <v>2034</v>
      </c>
      <c r="N39" s="9">
        <v>2035</v>
      </c>
      <c r="O39" s="9">
        <v>2036</v>
      </c>
      <c r="P39" s="9">
        <v>2037</v>
      </c>
      <c r="Q39" s="9">
        <v>2038</v>
      </c>
      <c r="R39" s="9">
        <v>2039</v>
      </c>
      <c r="S39" s="9">
        <v>2040</v>
      </c>
      <c r="T39" s="9">
        <v>2041</v>
      </c>
      <c r="U39" s="9">
        <v>2042</v>
      </c>
      <c r="V39" s="9">
        <v>2043</v>
      </c>
      <c r="W39" s="9">
        <v>2044</v>
      </c>
      <c r="X39" s="9">
        <v>2045</v>
      </c>
      <c r="Y39" s="9">
        <v>2046</v>
      </c>
      <c r="Z39" s="9">
        <v>2047</v>
      </c>
      <c r="AA39" s="9">
        <v>2048</v>
      </c>
      <c r="AB39" s="9">
        <v>2049</v>
      </c>
      <c r="AC39" s="9">
        <v>2050</v>
      </c>
      <c r="AD39" s="9">
        <v>2051</v>
      </c>
    </row>
    <row xmlns:x14ac="http://schemas.microsoft.com/office/spreadsheetml/2009/9/ac" r="40" x14ac:dyDescent="0.25">
      <c r="A40" s="3" t="s">
        <v>50</v>
      </c>
      <c r="B40" s="3" t="s">
        <v>51</v>
      </c>
      <c r="C40" s="3" t="s">
        <v>4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1</v>
      </c>
      <c r="V40" s="8">
        <v>1</v>
      </c>
      <c r="W40" s="8">
        <v>1</v>
      </c>
      <c r="X40" s="8">
        <v>1</v>
      </c>
      <c r="Y40" s="8">
        <v>1</v>
      </c>
      <c r="Z40" s="8">
        <v>1</v>
      </c>
      <c r="AA40" s="8">
        <v>1</v>
      </c>
      <c r="AB40" s="8">
        <v>1</v>
      </c>
      <c r="AC40" s="8">
        <v>1</v>
      </c>
      <c r="AD40" s="8">
        <v>1</v>
      </c>
    </row>
    <row xmlns:x14ac="http://schemas.microsoft.com/office/spreadsheetml/2009/9/ac" r="41" x14ac:dyDescent="0.25">
      <c r="A41" s="3" t="s">
        <v>52</v>
      </c>
      <c r="B41" s="3" t="s">
        <v>11</v>
      </c>
      <c r="C41" s="3" t="s">
        <v>4</v>
      </c>
      <c r="D41" s="8">
        <v>1</v>
      </c>
      <c r="E41" s="8">
        <v>1.730651856744186</v>
      </c>
      <c r="F41" s="8">
        <v>3.1552118832470599</v>
      </c>
      <c r="G41" s="8">
        <v>3.403434920168539</v>
      </c>
      <c r="H41" s="8">
        <v>3.6516579570900158</v>
      </c>
      <c r="I41" s="8">
        <v>3.8998809940114958</v>
      </c>
      <c r="J41" s="8">
        <v>3.98052593537333</v>
      </c>
      <c r="K41" s="8">
        <v>3.197981053445631</v>
      </c>
      <c r="L41" s="8">
        <v>3.271037300074549</v>
      </c>
      <c r="M41" s="8">
        <v>3.344073935337891</v>
      </c>
      <c r="N41" s="8">
        <v>3.4171089754784472</v>
      </c>
      <c r="O41" s="8">
        <v>3.4950055609030182</v>
      </c>
      <c r="P41" s="8">
        <v>3.5804447217194451</v>
      </c>
      <c r="Q41" s="8">
        <v>3.6658838825358839</v>
      </c>
      <c r="R41" s="8">
        <v>3.7513230433523121</v>
      </c>
      <c r="S41" s="8">
        <v>3.8367622041687501</v>
      </c>
      <c r="T41" s="8">
        <v>3.922201364985177</v>
      </c>
      <c r="U41" s="8">
        <v>4.0076405258016168</v>
      </c>
      <c r="V41" s="8">
        <v>4.0930796866180428</v>
      </c>
      <c r="W41" s="8">
        <v>4.1785188474344821</v>
      </c>
      <c r="X41" s="8">
        <v>4.2639580082509081</v>
      </c>
      <c r="Y41" s="8">
        <v>4.3493971690673492</v>
      </c>
      <c r="Z41" s="8">
        <v>4.4348363298837752</v>
      </c>
      <c r="AA41" s="8">
        <v>4.5202754907002136</v>
      </c>
      <c r="AB41" s="8">
        <v>4.6057146515166414</v>
      </c>
      <c r="AC41" s="8">
        <v>4.691153812333078</v>
      </c>
      <c r="AD41" s="8">
        <v>4.691153812333078</v>
      </c>
    </row>
    <row xmlns:x14ac="http://schemas.microsoft.com/office/spreadsheetml/2009/9/ac" r="42" x14ac:dyDescent="0.25">
      <c r="A42" s="3" t="s">
        <v>53</v>
      </c>
      <c r="B42" s="3" t="s">
        <v>54</v>
      </c>
      <c r="C42" s="3" t="s">
        <v>4</v>
      </c>
      <c r="D42" s="8">
        <v>1</v>
      </c>
      <c r="E42" s="8">
        <v>1.3771125684754519</v>
      </c>
      <c r="F42" s="8">
        <v>14.0458441958344</v>
      </c>
      <c r="G42" s="8">
        <v>14.43873897782839</v>
      </c>
      <c r="H42" s="8">
        <v>14.831633759822401</v>
      </c>
      <c r="I42" s="8">
        <v>15.224528541816399</v>
      </c>
      <c r="J42" s="8">
        <v>13.259279028924601</v>
      </c>
      <c r="K42" s="8">
        <v>12.802709800136761</v>
      </c>
      <c r="L42" s="8">
        <v>13.09348114681092</v>
      </c>
      <c r="M42" s="8">
        <v>13.38418740652676</v>
      </c>
      <c r="N42" s="8">
        <v>13.67489969816906</v>
      </c>
      <c r="O42" s="8">
        <v>13.985076708026581</v>
      </c>
      <c r="P42" s="8">
        <v>14.219034463211161</v>
      </c>
      <c r="Q42" s="8">
        <v>14.55939604215612</v>
      </c>
      <c r="R42" s="8">
        <v>14.89975762110109</v>
      </c>
      <c r="S42" s="8">
        <v>15.24011920004604</v>
      </c>
      <c r="T42" s="8">
        <v>14.750147184546559</v>
      </c>
      <c r="U42" s="8">
        <v>15.09050876349152</v>
      </c>
      <c r="V42" s="8">
        <v>15.43087034243648</v>
      </c>
      <c r="W42" s="8">
        <v>15.77123192138143</v>
      </c>
      <c r="X42" s="8">
        <v>16.111593500326379</v>
      </c>
      <c r="Y42" s="8">
        <v>16.451955079271329</v>
      </c>
      <c r="Z42" s="8">
        <v>16.79231665821635</v>
      </c>
      <c r="AA42" s="8">
        <v>17.13267823716129</v>
      </c>
      <c r="AB42" s="8">
        <v>17.473039816106251</v>
      </c>
      <c r="AC42" s="8">
        <v>17.813401395051191</v>
      </c>
      <c r="AD42" s="8">
        <v>17.813401395051191</v>
      </c>
    </row>
    <row xmlns:x14ac="http://schemas.microsoft.com/office/spreadsheetml/2009/9/ac" r="43" x14ac:dyDescent="0.25">
      <c r="A43" s="3" t="s">
        <v>55</v>
      </c>
      <c r="B43" s="3" t="s">
        <v>56</v>
      </c>
      <c r="C43" s="3" t="s">
        <v>4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8">
        <v>1</v>
      </c>
      <c r="L43" s="8">
        <v>1</v>
      </c>
      <c r="M43" s="8">
        <v>1</v>
      </c>
      <c r="N43" s="8">
        <v>1</v>
      </c>
      <c r="O43" s="8">
        <v>1</v>
      </c>
      <c r="P43" s="8">
        <v>1</v>
      </c>
      <c r="Q43" s="8">
        <v>1</v>
      </c>
      <c r="R43" s="8">
        <v>1</v>
      </c>
      <c r="S43" s="8">
        <v>1</v>
      </c>
      <c r="T43" s="8">
        <v>1</v>
      </c>
      <c r="U43" s="8">
        <v>1</v>
      </c>
      <c r="V43" s="8">
        <v>1</v>
      </c>
      <c r="W43" s="8">
        <v>1</v>
      </c>
      <c r="X43" s="8">
        <v>1</v>
      </c>
      <c r="Y43" s="8">
        <v>1</v>
      </c>
      <c r="Z43" s="8">
        <v>1</v>
      </c>
      <c r="AA43" s="8">
        <v>1</v>
      </c>
      <c r="AB43" s="8">
        <v>1</v>
      </c>
      <c r="AC43" s="8">
        <v>1</v>
      </c>
      <c r="AD43" s="8">
        <v>1</v>
      </c>
    </row>
    <row xmlns:x14ac="http://schemas.microsoft.com/office/spreadsheetml/2009/9/ac" r="44" x14ac:dyDescent="0.25">
      <c r="A44" s="3" t="s">
        <v>57</v>
      </c>
      <c r="B44" s="3" t="s">
        <v>58</v>
      </c>
      <c r="C44" s="3" t="s">
        <v>4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8">
        <v>1</v>
      </c>
      <c r="K44" s="8">
        <v>1</v>
      </c>
      <c r="L44" s="8">
        <v>1</v>
      </c>
      <c r="M44" s="8">
        <v>1</v>
      </c>
      <c r="N44" s="8">
        <v>1</v>
      </c>
      <c r="O44" s="8">
        <v>1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1</v>
      </c>
      <c r="V44" s="8">
        <v>1</v>
      </c>
      <c r="W44" s="8">
        <v>1</v>
      </c>
      <c r="X44" s="8">
        <v>1</v>
      </c>
      <c r="Y44" s="8">
        <v>1</v>
      </c>
      <c r="Z44" s="8">
        <v>1</v>
      </c>
      <c r="AA44" s="8">
        <v>1</v>
      </c>
      <c r="AB44" s="8">
        <v>1</v>
      </c>
      <c r="AC44" s="8">
        <v>1</v>
      </c>
      <c r="AD44" s="8">
        <v>1</v>
      </c>
    </row>
    <row xmlns:x14ac="http://schemas.microsoft.com/office/spreadsheetml/2009/9/ac" r="46" x14ac:dyDescent="0.25">
      <c r="A46" s="3" t="s">
        <v>59</v>
      </c>
      <c r="B46" s="3"/>
      <c r="C46" s="3" t="s">
        <v>22</v>
      </c>
      <c r="D46" s="8">
        <v>2025</v>
      </c>
      <c r="E46" s="8">
        <v>2026</v>
      </c>
      <c r="F46" s="8">
        <v>2027</v>
      </c>
      <c r="G46" s="8">
        <v>2028</v>
      </c>
      <c r="H46" s="8">
        <v>2029</v>
      </c>
      <c r="I46" s="8">
        <v>2030</v>
      </c>
      <c r="J46" s="8">
        <v>2031</v>
      </c>
      <c r="K46" s="8">
        <v>2032</v>
      </c>
      <c r="L46" s="8">
        <v>2033</v>
      </c>
      <c r="M46" s="8">
        <v>2034</v>
      </c>
      <c r="N46" s="8">
        <v>2035</v>
      </c>
      <c r="O46" s="8">
        <v>2036</v>
      </c>
      <c r="P46" s="8">
        <v>2037</v>
      </c>
      <c r="Q46" s="8">
        <v>2038</v>
      </c>
      <c r="R46" s="8">
        <v>2039</v>
      </c>
      <c r="S46" s="8">
        <v>2040</v>
      </c>
      <c r="T46" s="8">
        <v>2041</v>
      </c>
      <c r="U46" s="8">
        <v>2042</v>
      </c>
      <c r="V46" s="8">
        <v>2043</v>
      </c>
      <c r="W46" s="8">
        <v>2044</v>
      </c>
      <c r="X46" s="8">
        <v>2045</v>
      </c>
      <c r="Y46" s="8">
        <v>2046</v>
      </c>
      <c r="Z46" s="8">
        <v>2047</v>
      </c>
      <c r="AA46" s="8">
        <v>2048</v>
      </c>
      <c r="AB46" s="8">
        <v>2049</v>
      </c>
      <c r="AC46" s="8">
        <v>2050</v>
      </c>
      <c r="AD46" s="8">
        <v>2051</v>
      </c>
    </row>
    <row xmlns:x14ac="http://schemas.microsoft.com/office/spreadsheetml/2009/9/ac" r="47" x14ac:dyDescent="0.25">
      <c r="A47" s="3" t="s">
        <v>60</v>
      </c>
      <c r="B47" s="3" t="s">
        <v>0</v>
      </c>
      <c r="C47" s="3" t="s">
        <v>1</v>
      </c>
      <c r="D47" s="8">
        <v>1.4611994559937828E-2</v>
      </c>
      <c r="E47" s="8">
        <v>3.1742623946871086E-2</v>
      </c>
      <c r="F47" s="8">
        <v>3.0067340984959549E-2</v>
      </c>
      <c r="G47" s="8">
        <v>2.8434319190115624E-2</v>
      </c>
      <c r="H47" s="8">
        <v>2.6849720027516406E-2</v>
      </c>
      <c r="I47" s="8">
        <v>2.3716973314559221E-2</v>
      </c>
      <c r="J47" s="8">
        <v>1.3566738065698958E-2</v>
      </c>
      <c r="K47" s="8">
        <v>1.2576294842936209E-2</v>
      </c>
      <c r="L47" s="8">
        <v>1.1705310961577113E-2</v>
      </c>
      <c r="M47" s="8">
        <v>1.0936643667177193E-2</v>
      </c>
      <c r="N47" s="8">
        <v>1.025598590545327E-2</v>
      </c>
      <c r="O47" s="8">
        <v>9.6379590728045E-3</v>
      </c>
      <c r="P47" s="8">
        <v>9.0562475725918072E-3</v>
      </c>
      <c r="Q47" s="8">
        <v>8.5087923922274843E-3</v>
      </c>
      <c r="R47" s="8">
        <v>7.9936450584724966E-3</v>
      </c>
      <c r="S47" s="8">
        <v>7.5089622355767535E-3</v>
      </c>
      <c r="T47" s="8">
        <v>7.0530005391173838E-3</v>
      </c>
      <c r="U47" s="8">
        <v>6.6241115617311974E-3</v>
      </c>
      <c r="V47" s="8">
        <v>6.2207371064183434E-3</v>
      </c>
      <c r="W47" s="8">
        <v>5.8414046226658595E-3</v>
      </c>
      <c r="X47" s="8">
        <v>5.4847228402927087E-3</v>
      </c>
      <c r="Y47" s="8">
        <v>5.1493775956417184E-3</v>
      </c>
      <c r="Z47" s="8">
        <v>4.8341278445317333E-3</v>
      </c>
      <c r="AA47" s="8">
        <v>4.537801856226294E-3</v>
      </c>
      <c r="AB47" s="8">
        <v>4.2592935825676963E-3</v>
      </c>
      <c r="AC47" s="8">
        <v>3.9284512695081774E-3</v>
      </c>
      <c r="AD47" s="8">
        <v>2.1023316302365195E-3</v>
      </c>
    </row>
    <row xmlns:x14ac="http://schemas.microsoft.com/office/spreadsheetml/2009/9/ac" r="48" x14ac:dyDescent="0.25">
      <c r="A48" t="s">
        <v>61</v>
      </c>
      <c r="B48" t="s">
        <v>2</v>
      </c>
      <c r="C48" t="s">
        <v>1</v>
      </c>
      <c r="D48" s="4">
        <v>1.0421145650530057E-2</v>
      </c>
      <c r="E48" s="4">
        <v>7.8821115446035303E-2</v>
      </c>
      <c r="F48" s="4">
        <v>7.4988420592224173E-2</v>
      </c>
      <c r="G48" s="4">
        <v>7.1201165170956884E-2</v>
      </c>
      <c r="H48" s="4">
        <v>6.7482762631306606E-2</v>
      </c>
      <c r="I48" s="4">
        <v>5.4986920096145045E-2</v>
      </c>
      <c r="J48" s="4">
        <v>4.764276960677874E-2</v>
      </c>
      <c r="K48" s="4">
        <v>4.5303814782129345E-2</v>
      </c>
      <c r="L48" s="4">
        <v>4.3204447958164471E-2</v>
      </c>
      <c r="M48" s="4">
        <v>4.1317272589288967E-2</v>
      </c>
      <c r="N48" s="4">
        <v>3.9618484221185551E-2</v>
      </c>
      <c r="O48" s="4">
        <v>3.7775779978904925E-2</v>
      </c>
      <c r="P48" s="4">
        <v>3.6086905240316748E-2</v>
      </c>
      <c r="Q48" s="4">
        <v>3.4579273095088806E-2</v>
      </c>
      <c r="R48" s="4">
        <v>3.3106355361059304E-2</v>
      </c>
      <c r="S48" s="4">
        <v>3.0158608857975257E-2</v>
      </c>
      <c r="T48" s="4">
        <v>2.7797486765579117E-2</v>
      </c>
      <c r="U48" s="4">
        <v>2.6549039100001254E-2</v>
      </c>
      <c r="V48" s="4">
        <v>2.5339489280193469E-2</v>
      </c>
      <c r="W48" s="4">
        <v>2.4169486513717434E-2</v>
      </c>
      <c r="X48" s="4">
        <v>2.3039400085926677E-2</v>
      </c>
      <c r="Y48" s="4">
        <v>2.194935525886418E-2</v>
      </c>
      <c r="Z48" s="4">
        <v>2.089926552353169E-2</v>
      </c>
      <c r="AA48" s="4">
        <v>1.9888861539624842E-2</v>
      </c>
      <c r="AB48" s="4">
        <v>1.8917717067960381E-2</v>
      </c>
      <c r="AC48" s="4">
        <v>1.6817645401656076E-2</v>
      </c>
      <c r="AD48" s="4">
        <v>8.5130119173258793E-3</v>
      </c>
    </row>
    <row xmlns:x14ac="http://schemas.microsoft.com/office/spreadsheetml/2009/9/ac" r="49" x14ac:dyDescent="0.25">
      <c r="A49" t="s">
        <v>62</v>
      </c>
      <c r="B49" t="s">
        <v>14</v>
      </c>
      <c r="C49" t="s">
        <v>22</v>
      </c>
      <c r="D49" s="4">
        <v>2025</v>
      </c>
      <c r="E49" s="4">
        <v>2026</v>
      </c>
      <c r="F49" s="4">
        <v>2027</v>
      </c>
      <c r="G49" s="4">
        <v>2028</v>
      </c>
      <c r="H49" s="4">
        <v>2029</v>
      </c>
      <c r="I49" s="4">
        <v>2030</v>
      </c>
      <c r="J49" s="4">
        <v>2031</v>
      </c>
      <c r="K49" s="4">
        <v>2032</v>
      </c>
      <c r="L49" s="4">
        <v>2033</v>
      </c>
      <c r="M49" s="4">
        <v>2034</v>
      </c>
      <c r="N49" s="4">
        <v>2035</v>
      </c>
      <c r="O49" s="4">
        <v>2036</v>
      </c>
      <c r="P49" s="4">
        <v>2037</v>
      </c>
      <c r="Q49" s="4">
        <v>2038</v>
      </c>
      <c r="R49" s="4">
        <v>2039</v>
      </c>
      <c r="S49" s="4">
        <v>2040</v>
      </c>
      <c r="T49" s="4">
        <v>2041</v>
      </c>
      <c r="U49" s="4">
        <v>2042</v>
      </c>
      <c r="V49" s="4">
        <v>2043</v>
      </c>
      <c r="W49" s="4">
        <v>2044</v>
      </c>
      <c r="X49" s="4">
        <v>2045</v>
      </c>
      <c r="Y49" s="4">
        <v>2046</v>
      </c>
      <c r="Z49" s="4">
        <v>2047</v>
      </c>
      <c r="AA49" s="4">
        <v>2048</v>
      </c>
      <c r="AB49" s="4">
        <v>2049</v>
      </c>
      <c r="AC49" s="4">
        <v>2050</v>
      </c>
      <c r="AD49" s="4">
        <v>2051</v>
      </c>
    </row>
    <row xmlns:x14ac="http://schemas.microsoft.com/office/spreadsheetml/2009/9/ac" r="50" x14ac:dyDescent="0.25">
      <c r="A50" s="2" t="s">
        <v>63</v>
      </c>
      <c r="B50" s="2" t="s">
        <v>64</v>
      </c>
      <c r="C50" s="2" t="s">
        <v>65</v>
      </c>
      <c r="D50" s="10">
        <v>1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0</v>
      </c>
    </row>
    <row xmlns:x14ac="http://schemas.microsoft.com/office/spreadsheetml/2009/9/ac" r="51" x14ac:dyDescent="0.25">
      <c r="A51" s="3" t="s">
        <v>66</v>
      </c>
      <c r="B51" s="3" t="s">
        <v>67</v>
      </c>
      <c r="C51" s="3" t="s">
        <v>65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8">
        <v>1</v>
      </c>
      <c r="L51" s="8">
        <v>1</v>
      </c>
      <c r="M51" s="8">
        <v>1</v>
      </c>
      <c r="N51" s="8">
        <v>1</v>
      </c>
      <c r="O51" s="8">
        <v>1</v>
      </c>
      <c r="P51" s="8">
        <v>1</v>
      </c>
      <c r="Q51" s="8">
        <v>1</v>
      </c>
      <c r="R51" s="8">
        <v>1</v>
      </c>
      <c r="S51" s="8">
        <v>1</v>
      </c>
      <c r="T51" s="8">
        <v>1</v>
      </c>
      <c r="U51" s="8">
        <v>1</v>
      </c>
      <c r="V51" s="8">
        <v>1</v>
      </c>
      <c r="W51" s="8">
        <v>1</v>
      </c>
      <c r="X51" s="8">
        <v>1</v>
      </c>
      <c r="Y51" s="8">
        <v>1</v>
      </c>
      <c r="Z51" s="8">
        <v>1</v>
      </c>
      <c r="AA51" s="8">
        <v>1</v>
      </c>
      <c r="AB51" s="8">
        <v>1</v>
      </c>
      <c r="AC51" s="8">
        <v>1</v>
      </c>
      <c r="AD51" s="8">
        <v>0</v>
      </c>
    </row>
    <row xmlns:x14ac="http://schemas.microsoft.com/office/spreadsheetml/2009/9/ac" r="52" x14ac:dyDescent="0.25">
      <c r="A52" s="3"/>
      <c r="B52" s="3"/>
      <c r="C52" s="3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xmlns:x14ac="http://schemas.microsoft.com/office/spreadsheetml/2009/9/ac" r="53" x14ac:dyDescent="0.25">
      <c r="A53" s="3" t="s">
        <v>68</v>
      </c>
      <c r="B53" s="3" t="s">
        <v>14</v>
      </c>
      <c r="C53" s="3" t="s">
        <v>22</v>
      </c>
      <c r="D53" s="8">
        <v>2025</v>
      </c>
      <c r="E53" s="8">
        <v>2026</v>
      </c>
      <c r="F53" s="8">
        <v>2027</v>
      </c>
      <c r="G53" s="8">
        <v>2028</v>
      </c>
      <c r="H53" s="8">
        <v>2029</v>
      </c>
      <c r="I53" s="8">
        <v>2030</v>
      </c>
      <c r="J53" s="8">
        <v>2031</v>
      </c>
      <c r="K53" s="8">
        <v>2032</v>
      </c>
      <c r="L53" s="8">
        <v>2033</v>
      </c>
      <c r="M53" s="8">
        <v>2034</v>
      </c>
      <c r="N53" s="8">
        <v>2035</v>
      </c>
      <c r="O53" s="8">
        <v>2036</v>
      </c>
      <c r="P53" s="8">
        <v>2037</v>
      </c>
      <c r="Q53" s="8">
        <v>2038</v>
      </c>
      <c r="R53" s="8">
        <v>2039</v>
      </c>
      <c r="S53" s="8">
        <v>2040</v>
      </c>
      <c r="T53" s="8">
        <v>2041</v>
      </c>
      <c r="U53" s="8">
        <v>2042</v>
      </c>
      <c r="V53" s="8">
        <v>2043</v>
      </c>
      <c r="W53" s="8">
        <v>2044</v>
      </c>
      <c r="X53" s="8">
        <v>2045</v>
      </c>
      <c r="Y53" s="8">
        <v>2046</v>
      </c>
      <c r="Z53" s="8">
        <v>2047</v>
      </c>
      <c r="AA53" s="8">
        <v>2048</v>
      </c>
      <c r="AB53" s="8">
        <v>2049</v>
      </c>
      <c r="AC53" s="8">
        <v>2050</v>
      </c>
      <c r="AD53" s="8">
        <v>2051</v>
      </c>
    </row>
    <row xmlns:x14ac="http://schemas.microsoft.com/office/spreadsheetml/2009/9/ac" r="54" x14ac:dyDescent="0.25">
      <c r="A54" s="3" t="s">
        <v>69</v>
      </c>
      <c r="B54" s="3" t="s">
        <v>70</v>
      </c>
      <c r="C54" s="3" t="s">
        <v>71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8">
        <v>1</v>
      </c>
      <c r="K54" s="8">
        <v>1</v>
      </c>
      <c r="L54" s="8">
        <v>1</v>
      </c>
      <c r="M54" s="8">
        <v>1</v>
      </c>
      <c r="N54" s="8">
        <v>1</v>
      </c>
      <c r="O54" s="8">
        <v>1</v>
      </c>
      <c r="P54" s="8">
        <v>1</v>
      </c>
      <c r="Q54" s="8">
        <v>1</v>
      </c>
      <c r="R54" s="8">
        <v>1</v>
      </c>
      <c r="S54" s="8">
        <v>1</v>
      </c>
      <c r="T54" s="8">
        <v>1</v>
      </c>
      <c r="U54" s="8">
        <v>1</v>
      </c>
      <c r="V54" s="8">
        <v>1</v>
      </c>
      <c r="W54" s="8">
        <v>1</v>
      </c>
      <c r="X54" s="8">
        <v>1</v>
      </c>
      <c r="Y54" s="8">
        <v>1</v>
      </c>
      <c r="Z54" s="8">
        <v>1</v>
      </c>
      <c r="AA54" s="8">
        <v>1</v>
      </c>
      <c r="AB54" s="8">
        <v>1</v>
      </c>
      <c r="AC54" s="8">
        <v>1</v>
      </c>
      <c r="AD54" s="8">
        <v>1</v>
      </c>
    </row>
    <row xmlns:x14ac="http://schemas.microsoft.com/office/spreadsheetml/2009/9/ac" r="55" x14ac:dyDescent="0.25">
      <c r="A55" s="3" t="s">
        <v>72</v>
      </c>
      <c r="B55" s="3" t="s">
        <v>73</v>
      </c>
      <c r="C55" s="3" t="s">
        <v>71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8">
        <v>1</v>
      </c>
      <c r="K55" s="8">
        <v>1</v>
      </c>
      <c r="L55" s="8">
        <v>1</v>
      </c>
      <c r="M55" s="8">
        <v>1</v>
      </c>
      <c r="N55" s="8">
        <v>1</v>
      </c>
      <c r="O55" s="8">
        <v>1</v>
      </c>
      <c r="P55" s="8">
        <v>1</v>
      </c>
      <c r="Q55" s="8">
        <v>1</v>
      </c>
      <c r="R55" s="8">
        <v>1</v>
      </c>
      <c r="S55" s="8">
        <v>1</v>
      </c>
      <c r="T55" s="8">
        <v>1</v>
      </c>
      <c r="U55" s="8">
        <v>1</v>
      </c>
      <c r="V55" s="8">
        <v>1</v>
      </c>
      <c r="W55" s="8">
        <v>1</v>
      </c>
      <c r="X55" s="8">
        <v>1</v>
      </c>
      <c r="Y55" s="8">
        <v>1</v>
      </c>
      <c r="Z55" s="8">
        <v>1</v>
      </c>
      <c r="AA55" s="8">
        <v>1</v>
      </c>
      <c r="AB55" s="8">
        <v>1</v>
      </c>
      <c r="AC55" s="8">
        <v>1</v>
      </c>
      <c r="AD55" s="8">
        <v>1</v>
      </c>
    </row>
    <row xmlns:x14ac="http://schemas.microsoft.com/office/spreadsheetml/2009/9/ac" r="56" x14ac:dyDescent="0.25">
      <c r="A56" t="s">
        <v>74</v>
      </c>
      <c r="B56" t="s">
        <v>75</v>
      </c>
      <c r="C56" t="s">
        <v>71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</row>
    <row xmlns:x14ac="http://schemas.microsoft.com/office/spreadsheetml/2009/9/ac" r="57" x14ac:dyDescent="0.25">
      <c r="A57" s="2" t="s">
        <v>76</v>
      </c>
      <c r="B57" s="2" t="s">
        <v>77</v>
      </c>
      <c r="C57" s="2" t="s">
        <v>71</v>
      </c>
      <c r="D57" s="10">
        <v>1</v>
      </c>
      <c r="E57" s="9">
        <v>1</v>
      </c>
      <c r="F57" s="9">
        <v>1</v>
      </c>
      <c r="G57" s="9">
        <v>1</v>
      </c>
      <c r="H57" s="9">
        <v>1</v>
      </c>
      <c r="I57" s="9">
        <v>1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9">
        <v>1</v>
      </c>
      <c r="P57" s="9">
        <v>1</v>
      </c>
      <c r="Q57" s="9">
        <v>1</v>
      </c>
      <c r="R57" s="9">
        <v>1</v>
      </c>
      <c r="S57" s="9">
        <v>1</v>
      </c>
      <c r="T57" s="9">
        <v>1</v>
      </c>
      <c r="U57" s="9">
        <v>1</v>
      </c>
      <c r="V57" s="9">
        <v>1</v>
      </c>
      <c r="W57" s="9">
        <v>1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</row>
    <row xmlns:x14ac="http://schemas.microsoft.com/office/spreadsheetml/2009/9/ac" r="58" x14ac:dyDescent="0.25">
      <c r="A58" s="3" t="s">
        <v>78</v>
      </c>
      <c r="B58" s="3" t="s">
        <v>79</v>
      </c>
      <c r="C58" s="3" t="s">
        <v>71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8">
        <v>1</v>
      </c>
      <c r="K58" s="8">
        <v>1</v>
      </c>
      <c r="L58" s="8">
        <v>1</v>
      </c>
      <c r="M58" s="8">
        <v>1</v>
      </c>
      <c r="N58" s="8">
        <v>1</v>
      </c>
      <c r="O58" s="8">
        <v>1</v>
      </c>
      <c r="P58" s="8">
        <v>1</v>
      </c>
      <c r="Q58" s="8">
        <v>1</v>
      </c>
      <c r="R58" s="8">
        <v>1</v>
      </c>
      <c r="S58" s="8">
        <v>1</v>
      </c>
      <c r="T58" s="8">
        <v>1</v>
      </c>
      <c r="U58" s="8">
        <v>1</v>
      </c>
      <c r="V58" s="8">
        <v>1</v>
      </c>
      <c r="W58" s="8">
        <v>1</v>
      </c>
      <c r="X58" s="8">
        <v>1</v>
      </c>
      <c r="Y58" s="8">
        <v>1</v>
      </c>
      <c r="Z58" s="8">
        <v>1</v>
      </c>
      <c r="AA58" s="8">
        <v>1</v>
      </c>
      <c r="AB58" s="8">
        <v>1</v>
      </c>
      <c r="AC58" s="8">
        <v>1</v>
      </c>
      <c r="AD58" s="8">
        <v>1</v>
      </c>
    </row>
    <row xmlns:x14ac="http://schemas.microsoft.com/office/spreadsheetml/2009/9/ac" r="59" x14ac:dyDescent="0.25">
      <c r="A59" s="3"/>
      <c r="B59" s="3"/>
      <c r="C59" s="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xmlns:x14ac="http://schemas.microsoft.com/office/spreadsheetml/2009/9/ac" r="60" x14ac:dyDescent="0.25">
      <c r="A60" s="2" t="s">
        <v>80</v>
      </c>
      <c r="B60" s="2" t="s">
        <v>14</v>
      </c>
      <c r="C60" s="2" t="s">
        <v>22</v>
      </c>
      <c r="D60" s="10">
        <v>2025</v>
      </c>
      <c r="E60" s="9">
        <v>2026</v>
      </c>
      <c r="F60" s="9">
        <v>2027</v>
      </c>
      <c r="G60" s="9">
        <v>2028</v>
      </c>
      <c r="H60" s="9">
        <v>2029</v>
      </c>
      <c r="I60" s="9">
        <v>2030</v>
      </c>
      <c r="J60" s="9">
        <v>2031</v>
      </c>
      <c r="K60" s="9">
        <v>2032</v>
      </c>
      <c r="L60" s="9">
        <v>2033</v>
      </c>
      <c r="M60" s="9">
        <v>2034</v>
      </c>
      <c r="N60" s="9">
        <v>2035</v>
      </c>
      <c r="O60" s="9">
        <v>2036</v>
      </c>
      <c r="P60" s="9">
        <v>2037</v>
      </c>
      <c r="Q60" s="9">
        <v>2038</v>
      </c>
      <c r="R60" s="9">
        <v>2039</v>
      </c>
      <c r="S60" s="9">
        <v>2040</v>
      </c>
      <c r="T60" s="9">
        <v>2041</v>
      </c>
      <c r="U60" s="9">
        <v>2042</v>
      </c>
      <c r="V60" s="9">
        <v>2043</v>
      </c>
      <c r="W60" s="9">
        <v>2044</v>
      </c>
      <c r="X60" s="9">
        <v>2045</v>
      </c>
      <c r="Y60" s="9">
        <v>2046</v>
      </c>
      <c r="Z60" s="9">
        <v>2047</v>
      </c>
      <c r="AA60" s="9">
        <v>2048</v>
      </c>
      <c r="AB60" s="9">
        <v>2049</v>
      </c>
      <c r="AC60" s="9">
        <v>2050</v>
      </c>
      <c r="AD60" s="9">
        <v>2051</v>
      </c>
    </row>
    <row xmlns:x14ac="http://schemas.microsoft.com/office/spreadsheetml/2009/9/ac" r="61" x14ac:dyDescent="0.25">
      <c r="A61" s="3" t="s">
        <v>81</v>
      </c>
      <c r="B61" s="3" t="s">
        <v>82</v>
      </c>
      <c r="C61" s="3" t="s">
        <v>13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</row>
    <row xmlns:x14ac="http://schemas.microsoft.com/office/spreadsheetml/2009/9/ac" r="62" x14ac:dyDescent="0.25">
      <c r="A62" s="3" t="s">
        <v>83</v>
      </c>
      <c r="B62" s="3" t="s">
        <v>84</v>
      </c>
      <c r="C62" s="3" t="s">
        <v>13</v>
      </c>
      <c r="D62" s="8">
        <v>0</v>
      </c>
      <c r="E62" s="8">
        <v>-6.7500000000000004E-2</v>
      </c>
      <c r="F62" s="8">
        <v>-6.7500000000000004E-2</v>
      </c>
      <c r="G62" s="8">
        <v>-6.7500000000000004E-2</v>
      </c>
      <c r="H62" s="8">
        <v>-6.7500000000000004E-2</v>
      </c>
      <c r="I62" s="8">
        <v>-6.7500000000000004E-2</v>
      </c>
      <c r="J62" s="8">
        <v>-6.7500000000000004E-2</v>
      </c>
      <c r="K62" s="8">
        <v>-6.7500000000000004E-2</v>
      </c>
      <c r="L62" s="8">
        <v>-6.7500000000000004E-2</v>
      </c>
      <c r="M62" s="8">
        <v>-6.7500000000000004E-2</v>
      </c>
      <c r="N62" s="8">
        <v>-6.7500000000000004E-2</v>
      </c>
      <c r="O62" s="8">
        <v>-6.7500000000000004E-2</v>
      </c>
      <c r="P62" s="8">
        <v>-6.7500000000000004E-2</v>
      </c>
      <c r="Q62" s="8">
        <v>-6.7500000000000004E-2</v>
      </c>
      <c r="R62" s="8">
        <v>-6.7500000000000004E-2</v>
      </c>
      <c r="S62" s="8">
        <v>-6.7500000000000004E-2</v>
      </c>
      <c r="T62" s="8">
        <v>-6.7500000000000004E-2</v>
      </c>
      <c r="U62" s="8">
        <v>-6.7500000000000004E-2</v>
      </c>
      <c r="V62" s="8">
        <v>-6.7500000000000004E-2</v>
      </c>
      <c r="W62" s="8">
        <v>-6.7500000000000004E-2</v>
      </c>
      <c r="X62" s="8">
        <v>-6.7500000000000004E-2</v>
      </c>
      <c r="Y62" s="8">
        <v>-6.7500000000000004E-2</v>
      </c>
      <c r="Z62" s="8">
        <v>-6.7500000000000004E-2</v>
      </c>
      <c r="AA62" s="8">
        <v>-6.7500000000000004E-2</v>
      </c>
      <c r="AB62" s="8">
        <v>-6.7500000000000004E-2</v>
      </c>
      <c r="AC62" s="8">
        <v>-6.7500000000000004E-2</v>
      </c>
      <c r="AD62" s="8">
        <v>-6.7500000000000004E-2</v>
      </c>
    </row>
    <row xmlns:x14ac="http://schemas.microsoft.com/office/spreadsheetml/2009/9/ac" r="63" x14ac:dyDescent="0.25">
      <c r="A63" t="s">
        <v>85</v>
      </c>
      <c r="B63" t="s">
        <v>86</v>
      </c>
      <c r="C63" t="s">
        <v>13</v>
      </c>
      <c r="D63" s="4">
        <v>0</v>
      </c>
      <c r="E63" s="4">
        <v>-1.6677835051546509E-2</v>
      </c>
      <c r="F63" s="4">
        <v>-1.6677835051546509E-2</v>
      </c>
      <c r="G63" s="4">
        <v>-1.6677835051546509E-2</v>
      </c>
      <c r="H63" s="4">
        <v>-1.6677835051546509E-2</v>
      </c>
      <c r="I63" s="4">
        <v>-1.6677835051546509E-2</v>
      </c>
      <c r="J63" s="4">
        <v>-1.6677835051546509E-2</v>
      </c>
      <c r="K63" s="4">
        <v>-1.6677835051546509E-2</v>
      </c>
      <c r="L63" s="4">
        <v>-1.6677835051546509E-2</v>
      </c>
      <c r="M63" s="4">
        <v>-1.6677835051546509E-2</v>
      </c>
      <c r="N63" s="4">
        <v>-1.6677835051546509E-2</v>
      </c>
      <c r="O63" s="4">
        <v>-1.6677835051546509E-2</v>
      </c>
      <c r="P63" s="4">
        <v>-1.6677835051546509E-2</v>
      </c>
      <c r="Q63" s="4">
        <v>-1.6677835051546509E-2</v>
      </c>
      <c r="R63" s="4">
        <v>-1.6677835051546509E-2</v>
      </c>
      <c r="S63" s="4">
        <v>-1.6677835051546509E-2</v>
      </c>
      <c r="T63" s="4">
        <v>-1.6677835051546509E-2</v>
      </c>
      <c r="U63" s="4">
        <v>-1.6677835051546509E-2</v>
      </c>
      <c r="V63" s="4">
        <v>-1.6677835051546509E-2</v>
      </c>
      <c r="W63" s="4">
        <v>-1.6677835051546509E-2</v>
      </c>
      <c r="X63" s="4">
        <v>-1.6677835051546509E-2</v>
      </c>
      <c r="Y63" s="4">
        <v>-1.6677835051546509E-2</v>
      </c>
      <c r="Z63" s="4">
        <v>-1.6677835051546509E-2</v>
      </c>
      <c r="AA63" s="4">
        <v>-1.6677835051546509E-2</v>
      </c>
      <c r="AB63" s="4">
        <v>-1.6677835051546509E-2</v>
      </c>
      <c r="AC63" s="4">
        <v>-1.6677835051546509E-2</v>
      </c>
      <c r="AD63" s="4">
        <v>-1.6677835051546509E-2</v>
      </c>
    </row>
    <row xmlns:x14ac="http://schemas.microsoft.com/office/spreadsheetml/2009/9/ac" r="64" x14ac:dyDescent="0.25">
      <c r="A64" s="2" t="s">
        <v>87</v>
      </c>
      <c r="B64" s="2" t="s">
        <v>88</v>
      </c>
      <c r="C64" s="2" t="s">
        <v>13</v>
      </c>
      <c r="D64" s="10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</row>
    <row xmlns:x14ac="http://schemas.microsoft.com/office/spreadsheetml/2009/9/ac" r="65" x14ac:dyDescent="0.25">
      <c r="A65" s="3" t="s">
        <v>89</v>
      </c>
      <c r="B65" s="3" t="s">
        <v>90</v>
      </c>
      <c r="C65" s="3" t="s">
        <v>13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</row>
    <row xmlns:x14ac="http://schemas.microsoft.com/office/spreadsheetml/2009/9/ac" r="66" x14ac:dyDescent="0.25">
      <c r="A66" s="3"/>
      <c r="B66" s="3"/>
      <c r="C66" s="3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xmlns:x14ac="http://schemas.microsoft.com/office/spreadsheetml/2009/9/ac" r="67" x14ac:dyDescent="0.25">
      <c r="A67" s="3" t="s">
        <v>91</v>
      </c>
      <c r="B67" s="3" t="s">
        <v>14</v>
      </c>
      <c r="C67" s="3" t="s">
        <v>22</v>
      </c>
      <c r="D67" s="8">
        <v>2025</v>
      </c>
      <c r="E67" s="8">
        <v>2026</v>
      </c>
      <c r="F67" s="8">
        <v>2027</v>
      </c>
      <c r="G67" s="8">
        <v>2028</v>
      </c>
      <c r="H67" s="8">
        <v>2029</v>
      </c>
      <c r="I67" s="8">
        <v>2030</v>
      </c>
      <c r="J67" s="8">
        <v>2031</v>
      </c>
      <c r="K67" s="8">
        <v>2032</v>
      </c>
      <c r="L67" s="8">
        <v>2033</v>
      </c>
      <c r="M67" s="8">
        <v>2034</v>
      </c>
      <c r="N67" s="8">
        <v>2035</v>
      </c>
      <c r="O67" s="8">
        <v>2036</v>
      </c>
      <c r="P67" s="8">
        <v>2037</v>
      </c>
      <c r="Q67" s="8">
        <v>2038</v>
      </c>
      <c r="R67" s="8">
        <v>2039</v>
      </c>
      <c r="S67" s="8">
        <v>2040</v>
      </c>
      <c r="T67" s="8">
        <v>2041</v>
      </c>
      <c r="U67" s="8">
        <v>2042</v>
      </c>
      <c r="V67" s="8">
        <v>2043</v>
      </c>
      <c r="W67" s="8">
        <v>2044</v>
      </c>
      <c r="X67" s="8">
        <v>2045</v>
      </c>
      <c r="Y67" s="8">
        <v>2046</v>
      </c>
      <c r="Z67" s="8">
        <v>2047</v>
      </c>
      <c r="AA67" s="8">
        <v>2048</v>
      </c>
      <c r="AB67" s="8">
        <v>2049</v>
      </c>
      <c r="AC67" s="8">
        <v>2050</v>
      </c>
      <c r="AD67" s="8">
        <v>2051</v>
      </c>
    </row>
    <row xmlns:x14ac="http://schemas.microsoft.com/office/spreadsheetml/2009/9/ac" r="68" x14ac:dyDescent="0.25">
      <c r="A68" s="3" t="s">
        <v>92</v>
      </c>
      <c r="B68" s="3" t="s">
        <v>93</v>
      </c>
      <c r="C68" s="3" t="s">
        <v>71</v>
      </c>
      <c r="D68" s="8">
        <v>1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8">
        <v>1</v>
      </c>
      <c r="K68" s="8">
        <v>1</v>
      </c>
      <c r="L68" s="8">
        <v>1</v>
      </c>
      <c r="M68" s="8">
        <v>1</v>
      </c>
      <c r="N68" s="8">
        <v>1</v>
      </c>
      <c r="O68" s="8">
        <v>1</v>
      </c>
      <c r="P68" s="8">
        <v>1</v>
      </c>
      <c r="Q68" s="8">
        <v>1</v>
      </c>
      <c r="R68" s="8">
        <v>1</v>
      </c>
      <c r="S68" s="8">
        <v>1</v>
      </c>
      <c r="T68" s="8">
        <v>1</v>
      </c>
      <c r="U68" s="8">
        <v>1</v>
      </c>
      <c r="V68" s="8">
        <v>1</v>
      </c>
      <c r="W68" s="8">
        <v>1</v>
      </c>
      <c r="X68" s="8">
        <v>1</v>
      </c>
      <c r="Y68" s="8">
        <v>1</v>
      </c>
      <c r="Z68" s="8">
        <v>1</v>
      </c>
      <c r="AA68" s="8">
        <v>1</v>
      </c>
      <c r="AB68" s="8">
        <v>1</v>
      </c>
      <c r="AC68" s="8">
        <v>1</v>
      </c>
      <c r="AD68" s="8">
        <v>1</v>
      </c>
    </row>
    <row xmlns:x14ac="http://schemas.microsoft.com/office/spreadsheetml/2009/9/ac" r="69" x14ac:dyDescent="0.25">
      <c r="A69" s="3" t="s">
        <v>94</v>
      </c>
      <c r="B69" s="3" t="s">
        <v>95</v>
      </c>
      <c r="C69" s="3" t="s">
        <v>13</v>
      </c>
      <c r="D69" s="8">
        <v>2.1798860882249749E-2</v>
      </c>
      <c r="E69" s="8">
        <v>3.0028062455454339E-2</v>
      </c>
      <c r="F69" s="8">
        <v>4.1363837298621663E-2</v>
      </c>
      <c r="G69" s="8">
        <v>5.6978935574181912E-2</v>
      </c>
      <c r="H69" s="8">
        <v>7.8488827710260778E-2</v>
      </c>
      <c r="I69" s="8">
        <v>0.10811883397348709</v>
      </c>
      <c r="J69" s="8">
        <v>0.12309264208235331</v>
      </c>
      <c r="K69" s="8">
        <v>0.14014023253829999</v>
      </c>
      <c r="L69" s="8">
        <v>0.15954881172141419</v>
      </c>
      <c r="M69" s="8">
        <v>0.18164536236771431</v>
      </c>
      <c r="N69" s="8">
        <v>0.20680215235517019</v>
      </c>
      <c r="O69" s="8">
        <v>0.2354430064234464</v>
      </c>
      <c r="P69" s="8">
        <v>0.2680504464891037</v>
      </c>
      <c r="Q69" s="8">
        <v>0.30517382085150202</v>
      </c>
      <c r="R69" s="8">
        <v>0.34743855924481892</v>
      </c>
      <c r="S69" s="8">
        <v>0.39555670965909928</v>
      </c>
      <c r="T69" s="8">
        <v>0.41628774945320829</v>
      </c>
      <c r="U69" s="8">
        <v>0.43810529846445428</v>
      </c>
      <c r="V69" s="8">
        <v>0.46106630040095042</v>
      </c>
      <c r="W69" s="8">
        <v>0.48523068337797642</v>
      </c>
      <c r="X69" s="8">
        <v>0.51066151633009826</v>
      </c>
      <c r="Y69" s="8">
        <v>0.5374251736208141</v>
      </c>
      <c r="Z69" s="8">
        <v>0.56559150827935412</v>
      </c>
      <c r="AA69" s="8">
        <v>0.59523403431678268</v>
      </c>
      <c r="AB69" s="8">
        <v>0.62643011859724906</v>
      </c>
      <c r="AC69" s="8">
        <v>0.65926118276516621</v>
      </c>
      <c r="AD69" s="8">
        <v>0.65926118276516621</v>
      </c>
    </row>
    <row xmlns:x14ac="http://schemas.microsoft.com/office/spreadsheetml/2009/9/ac" r="71" x14ac:dyDescent="0.25">
      <c r="A71" s="2" t="s">
        <v>96</v>
      </c>
      <c r="B71" s="2" t="s">
        <v>14</v>
      </c>
      <c r="C71" s="2" t="s">
        <v>22</v>
      </c>
      <c r="D71" s="10">
        <v>2025</v>
      </c>
      <c r="E71" s="9">
        <v>2026</v>
      </c>
      <c r="F71" s="9">
        <v>2027</v>
      </c>
      <c r="G71" s="9">
        <v>2028</v>
      </c>
      <c r="H71" s="9">
        <v>2029</v>
      </c>
      <c r="I71" s="9">
        <v>2030</v>
      </c>
      <c r="J71" s="9">
        <v>2031</v>
      </c>
      <c r="K71" s="9">
        <v>2032</v>
      </c>
      <c r="L71" s="9">
        <v>2033</v>
      </c>
      <c r="M71" s="9">
        <v>2034</v>
      </c>
      <c r="N71" s="9">
        <v>2035</v>
      </c>
      <c r="O71" s="9">
        <v>2036</v>
      </c>
      <c r="P71" s="9">
        <v>2037</v>
      </c>
      <c r="Q71" s="9">
        <v>2038</v>
      </c>
      <c r="R71" s="9">
        <v>2039</v>
      </c>
      <c r="S71" s="9">
        <v>2040</v>
      </c>
      <c r="T71" s="9">
        <v>2041</v>
      </c>
      <c r="U71" s="9">
        <v>2042</v>
      </c>
      <c r="V71" s="9">
        <v>2043</v>
      </c>
      <c r="W71" s="9">
        <v>2044</v>
      </c>
      <c r="X71" s="9">
        <v>2045</v>
      </c>
      <c r="Y71" s="9">
        <v>2046</v>
      </c>
      <c r="Z71" s="9">
        <v>2047</v>
      </c>
      <c r="AA71" s="9">
        <v>2048</v>
      </c>
      <c r="AB71" s="9">
        <v>2049</v>
      </c>
      <c r="AC71" s="9">
        <v>2050</v>
      </c>
      <c r="AD71" s="9">
        <v>2051</v>
      </c>
    </row>
    <row xmlns:x14ac="http://schemas.microsoft.com/office/spreadsheetml/2009/9/ac" r="72" x14ac:dyDescent="0.25">
      <c r="A72" s="3" t="s">
        <v>97</v>
      </c>
      <c r="B72" s="3" t="s">
        <v>98</v>
      </c>
      <c r="C72" s="3" t="s">
        <v>4</v>
      </c>
      <c r="D72" s="8">
        <v>1</v>
      </c>
      <c r="E72" s="8">
        <v>1.007278020378457</v>
      </c>
      <c r="F72" s="8">
        <v>1.0145560407569141</v>
      </c>
      <c r="G72" s="8">
        <v>1.0218340611353709</v>
      </c>
      <c r="H72" s="8">
        <v>1.0291120815138279</v>
      </c>
      <c r="I72" s="8">
        <v>1.036390101892285</v>
      </c>
      <c r="J72" s="8">
        <v>1.036681222707424</v>
      </c>
      <c r="K72" s="8">
        <v>1.036972343522562</v>
      </c>
      <c r="L72" s="8">
        <v>1.0372634643376999</v>
      </c>
      <c r="M72" s="8">
        <v>1.037554585152838</v>
      </c>
      <c r="N72" s="8">
        <v>1.0378457059679771</v>
      </c>
      <c r="O72" s="8">
        <v>1.0372634643376999</v>
      </c>
      <c r="P72" s="8">
        <v>1.036681222707424</v>
      </c>
      <c r="Q72" s="8">
        <v>1.036098981077147</v>
      </c>
      <c r="R72" s="8">
        <v>1.0355167394468709</v>
      </c>
      <c r="S72" s="8">
        <v>1.034934497816594</v>
      </c>
      <c r="T72" s="8">
        <v>1.0331877729257639</v>
      </c>
      <c r="U72" s="8">
        <v>1.031441048034935</v>
      </c>
      <c r="V72" s="8">
        <v>1.0296943231441049</v>
      </c>
      <c r="W72" s="8">
        <v>1.0279475982532751</v>
      </c>
      <c r="X72" s="8">
        <v>1.026200873362445</v>
      </c>
      <c r="Y72" s="8">
        <v>1.022707423580786</v>
      </c>
      <c r="Z72" s="8">
        <v>1.019213973799127</v>
      </c>
      <c r="AA72" s="8">
        <v>1.0157205240174669</v>
      </c>
      <c r="AB72" s="8">
        <v>1.0122270742358079</v>
      </c>
      <c r="AC72" s="8">
        <v>1.008733624454148</v>
      </c>
      <c r="AD72" s="8">
        <v>1.008733624454148</v>
      </c>
    </row>
    <row xmlns:x14ac="http://schemas.microsoft.com/office/spreadsheetml/2009/9/ac" r="73" x14ac:dyDescent="0.25">
      <c r="A73" s="3" t="s">
        <v>99</v>
      </c>
      <c r="B73" s="3" t="s">
        <v>100</v>
      </c>
      <c r="C73" s="3" t="s">
        <v>4</v>
      </c>
      <c r="D73" s="8">
        <v>1</v>
      </c>
      <c r="E73" s="8">
        <v>1.001823708206687</v>
      </c>
      <c r="F73" s="8">
        <v>1.003647416413374</v>
      </c>
      <c r="G73" s="8">
        <v>1.0054711246200609</v>
      </c>
      <c r="H73" s="8">
        <v>1.0072948328267479</v>
      </c>
      <c r="I73" s="8">
        <v>1.0091185410334349</v>
      </c>
      <c r="J73" s="8">
        <v>1.021276595744681</v>
      </c>
      <c r="K73" s="8">
        <v>1.033434650455928</v>
      </c>
      <c r="L73" s="8">
        <v>1.045592705167173</v>
      </c>
      <c r="M73" s="8">
        <v>1.0577507598784199</v>
      </c>
      <c r="N73" s="8">
        <v>1.069908814589666</v>
      </c>
      <c r="O73" s="8">
        <v>1.0826747720364751</v>
      </c>
      <c r="P73" s="8">
        <v>1.0954407294832831</v>
      </c>
      <c r="Q73" s="8">
        <v>1.1082066869300919</v>
      </c>
      <c r="R73" s="8">
        <v>1.1209726443768999</v>
      </c>
      <c r="S73" s="8">
        <v>1.133738601823709</v>
      </c>
      <c r="T73" s="8">
        <v>1.145288753799393</v>
      </c>
      <c r="U73" s="8">
        <v>1.1568389057750761</v>
      </c>
      <c r="V73" s="8">
        <v>1.168389057750761</v>
      </c>
      <c r="W73" s="8">
        <v>1.1799392097264441</v>
      </c>
      <c r="X73" s="8">
        <v>1.191489361702128</v>
      </c>
      <c r="Y73" s="8">
        <v>1.2006079027355629</v>
      </c>
      <c r="Z73" s="8">
        <v>1.2097264437689981</v>
      </c>
      <c r="AA73" s="8">
        <v>1.2188449848024321</v>
      </c>
      <c r="AB73" s="8">
        <v>1.227963525835867</v>
      </c>
      <c r="AC73" s="8">
        <v>1.237082066869301</v>
      </c>
      <c r="AD73" s="8">
        <v>1.237082066869301</v>
      </c>
    </row>
    <row xmlns:x14ac="http://schemas.microsoft.com/office/spreadsheetml/2009/9/ac" r="74" x14ac:dyDescent="0.25">
      <c r="A74" s="3"/>
      <c r="B74" s="3"/>
      <c r="C74" s="3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xmlns:x14ac="http://schemas.microsoft.com/office/spreadsheetml/2009/9/ac" r="75" x14ac:dyDescent="0.25">
      <c r="A75" s="3" t="s">
        <v>101</v>
      </c>
      <c r="B75" s="3" t="s">
        <v>14</v>
      </c>
      <c r="C75" s="3" t="s">
        <v>22</v>
      </c>
      <c r="D75" s="8">
        <v>2025</v>
      </c>
      <c r="E75" s="8">
        <v>2026</v>
      </c>
      <c r="F75" s="8">
        <v>2027</v>
      </c>
      <c r="G75" s="8">
        <v>2028</v>
      </c>
      <c r="H75" s="8">
        <v>2029</v>
      </c>
      <c r="I75" s="8">
        <v>2030</v>
      </c>
      <c r="J75" s="8">
        <v>2031</v>
      </c>
      <c r="K75" s="8">
        <v>2032</v>
      </c>
      <c r="L75" s="8">
        <v>2033</v>
      </c>
      <c r="M75" s="8">
        <v>2034</v>
      </c>
      <c r="N75" s="8">
        <v>2035</v>
      </c>
      <c r="O75" s="8">
        <v>2036</v>
      </c>
      <c r="P75" s="8">
        <v>2037</v>
      </c>
      <c r="Q75" s="8">
        <v>2038</v>
      </c>
      <c r="R75" s="8">
        <v>2039</v>
      </c>
      <c r="S75" s="8">
        <v>2040</v>
      </c>
      <c r="T75" s="8">
        <v>2041</v>
      </c>
      <c r="U75" s="8">
        <v>2042</v>
      </c>
      <c r="V75" s="8">
        <v>2043</v>
      </c>
      <c r="W75" s="8">
        <v>2044</v>
      </c>
      <c r="X75" s="8">
        <v>2045</v>
      </c>
      <c r="Y75" s="8">
        <v>2046</v>
      </c>
      <c r="Z75" s="8">
        <v>2047</v>
      </c>
      <c r="AA75" s="8">
        <v>2048</v>
      </c>
      <c r="AB75" s="8">
        <v>2049</v>
      </c>
      <c r="AC75" s="8">
        <v>2050</v>
      </c>
      <c r="AD75" s="8">
        <v>2051</v>
      </c>
    </row>
    <row xmlns:x14ac="http://schemas.microsoft.com/office/spreadsheetml/2009/9/ac" r="76" x14ac:dyDescent="0.25">
      <c r="A76" s="3" t="s">
        <v>102</v>
      </c>
      <c r="B76" s="3" t="s">
        <v>103</v>
      </c>
      <c r="C76" s="3" t="s">
        <v>17</v>
      </c>
      <c r="D76" s="8">
        <v>1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1</v>
      </c>
      <c r="K76" s="8">
        <v>1</v>
      </c>
      <c r="L76" s="8">
        <v>1</v>
      </c>
      <c r="M76" s="8">
        <v>1</v>
      </c>
      <c r="N76" s="8">
        <v>1</v>
      </c>
      <c r="O76" s="8">
        <v>1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1</v>
      </c>
      <c r="V76" s="8">
        <v>1</v>
      </c>
      <c r="W76" s="8">
        <v>1</v>
      </c>
      <c r="X76" s="8">
        <v>1</v>
      </c>
      <c r="Y76" s="8">
        <v>1</v>
      </c>
      <c r="Z76" s="8">
        <v>1</v>
      </c>
      <c r="AA76" s="8">
        <v>1</v>
      </c>
      <c r="AB76" s="8">
        <v>1</v>
      </c>
      <c r="AC76" s="8">
        <v>1</v>
      </c>
      <c r="AD76" s="8">
        <v>1</v>
      </c>
    </row>
    <row xmlns:x14ac="http://schemas.microsoft.com/office/spreadsheetml/2009/9/ac" r="77" x14ac:dyDescent="0.25">
      <c r="A77" t="s">
        <v>104</v>
      </c>
      <c r="B77" t="s">
        <v>105</v>
      </c>
      <c r="C77" t="s">
        <v>17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</row>
    <row xmlns:x14ac="http://schemas.microsoft.com/office/spreadsheetml/2009/9/ac" r="78" x14ac:dyDescent="0.25">
      <c r="A78" t="s">
        <v>106</v>
      </c>
      <c r="B78" t="s">
        <v>107</v>
      </c>
      <c r="C78" t="s">
        <v>17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</row>
    <row xmlns:x14ac="http://schemas.microsoft.com/office/spreadsheetml/2009/9/ac" r="79" x14ac:dyDescent="0.25">
      <c r="A79" t="s">
        <v>108</v>
      </c>
      <c r="B79" t="s">
        <v>109</v>
      </c>
      <c r="C79" t="s">
        <v>17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</row>
    <row xmlns:x14ac="http://schemas.microsoft.com/office/spreadsheetml/2009/9/ac" r="80" x14ac:dyDescent="0.25">
      <c r="A80" t="s">
        <v>110</v>
      </c>
      <c r="B80" t="s">
        <v>12</v>
      </c>
      <c r="C80" t="s">
        <v>17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</row>
    <row xmlns:x14ac="http://schemas.microsoft.com/office/spreadsheetml/2009/9/ac" r="82" x14ac:dyDescent="0.25">
      <c r="A82" t="s">
        <v>111</v>
      </c>
      <c r="B82" t="s">
        <v>14</v>
      </c>
      <c r="C82" t="s">
        <v>22</v>
      </c>
      <c r="D82" s="4">
        <v>2025</v>
      </c>
      <c r="E82" s="4">
        <v>2026</v>
      </c>
      <c r="F82" s="4">
        <v>2027</v>
      </c>
      <c r="G82" s="4">
        <v>2028</v>
      </c>
      <c r="H82" s="4">
        <v>2029</v>
      </c>
      <c r="I82" s="4">
        <v>2030</v>
      </c>
      <c r="J82" s="4">
        <v>2031</v>
      </c>
      <c r="K82" s="4">
        <v>2032</v>
      </c>
      <c r="L82" s="4">
        <v>2033</v>
      </c>
      <c r="M82" s="4">
        <v>2034</v>
      </c>
      <c r="N82" s="4">
        <v>2035</v>
      </c>
      <c r="O82" s="4">
        <v>2036</v>
      </c>
      <c r="P82" s="4">
        <v>2037</v>
      </c>
      <c r="Q82" s="4">
        <v>2038</v>
      </c>
      <c r="R82" s="4">
        <v>2039</v>
      </c>
      <c r="S82" s="4">
        <v>2040</v>
      </c>
      <c r="T82" s="4">
        <v>2041</v>
      </c>
      <c r="U82" s="4">
        <v>2042</v>
      </c>
      <c r="V82" s="4">
        <v>2043</v>
      </c>
      <c r="W82" s="4">
        <v>2044</v>
      </c>
      <c r="X82" s="4">
        <v>2045</v>
      </c>
      <c r="Y82" s="4">
        <v>2046</v>
      </c>
      <c r="Z82" s="4">
        <v>2047</v>
      </c>
      <c r="AA82" s="4">
        <v>2048</v>
      </c>
      <c r="AB82" s="4">
        <v>2049</v>
      </c>
      <c r="AC82" s="4">
        <v>2050</v>
      </c>
      <c r="AD82" s="4">
        <v>2051</v>
      </c>
    </row>
    <row xmlns:x14ac="http://schemas.microsoft.com/office/spreadsheetml/2009/9/ac" r="83" x14ac:dyDescent="0.25">
      <c r="A83" t="s">
        <v>112</v>
      </c>
      <c r="B83" t="s">
        <v>113</v>
      </c>
      <c r="C83" t="s">
        <v>13</v>
      </c>
      <c r="D83" s="4">
        <v>1.2999999999999999E-3</v>
      </c>
      <c r="E83" s="4">
        <v>3.1663720000000002E-3</v>
      </c>
      <c r="F83" s="4">
        <v>5.1978459999999999E-3</v>
      </c>
      <c r="G83" s="4">
        <v>1.3292877E-2</v>
      </c>
      <c r="H83" s="4">
        <v>2.5726505E-2</v>
      </c>
      <c r="I83" s="4">
        <v>1.0399210000000001E-2</v>
      </c>
      <c r="J83" s="4">
        <v>1.0975494000000001E-2</v>
      </c>
      <c r="K83" s="4">
        <v>1.1558150999999999E-2</v>
      </c>
      <c r="L83" s="4">
        <v>1.2147181999999999E-2</v>
      </c>
      <c r="M83" s="4">
        <v>1.2742587999999999E-2</v>
      </c>
      <c r="N83" s="4">
        <v>1.8810360000000002E-2</v>
      </c>
      <c r="O83" s="4">
        <v>2.0035783000000001E-2</v>
      </c>
      <c r="P83" s="4">
        <v>2.1274648E-2</v>
      </c>
      <c r="Q83" s="4">
        <v>2.2526952999999999E-2</v>
      </c>
      <c r="R83" s="4">
        <v>2.37927E-2</v>
      </c>
      <c r="S83" s="4">
        <v>2.6232307999999999E-2</v>
      </c>
      <c r="T83" s="4">
        <v>2.7655513E-2</v>
      </c>
      <c r="U83" s="4">
        <v>2.9093612000000001E-2</v>
      </c>
      <c r="V83" s="4">
        <v>3.0546605000000001E-2</v>
      </c>
      <c r="W83" s="4">
        <v>3.2014492999999998E-2</v>
      </c>
      <c r="X83" s="4">
        <v>2.4751406E-2</v>
      </c>
      <c r="Y83" s="4">
        <v>2.5268286000000001E-2</v>
      </c>
      <c r="Z83" s="4">
        <v>2.5789439000000001E-2</v>
      </c>
      <c r="AA83" s="4">
        <v>2.6314865999999999E-2</v>
      </c>
      <c r="AB83" s="4">
        <v>2.6844567E-2</v>
      </c>
      <c r="AC83" s="4">
        <v>2.6844567E-2</v>
      </c>
      <c r="AD83" s="4">
        <v>2.6844567E-2</v>
      </c>
    </row>
    <row xmlns:x14ac="http://schemas.microsoft.com/office/spreadsheetml/2009/9/ac" r="84" x14ac:dyDescent="0.25">
      <c r="A84" t="s">
        <v>114</v>
      </c>
      <c r="B84" t="s">
        <v>115</v>
      </c>
      <c r="C84" t="s">
        <v>4</v>
      </c>
      <c r="D84" s="4">
        <v>1</v>
      </c>
      <c r="E84" s="4">
        <v>1.0700069999999999</v>
      </c>
      <c r="F84" s="4">
        <v>1.1449929999999999</v>
      </c>
      <c r="G84" s="4">
        <v>1.225317</v>
      </c>
      <c r="H84" s="4">
        <v>1.311364</v>
      </c>
      <c r="I84" s="4">
        <v>1.4035489999999999</v>
      </c>
      <c r="J84" s="4">
        <v>1.5023169999999999</v>
      </c>
      <c r="K84" s="4">
        <v>1.6081430000000001</v>
      </c>
      <c r="L84" s="4">
        <v>1.7215419999999999</v>
      </c>
      <c r="M84" s="4">
        <v>1.843062</v>
      </c>
      <c r="N84" s="4">
        <v>1.9732940000000001</v>
      </c>
      <c r="O84" s="4">
        <v>2.1128719999999999</v>
      </c>
      <c r="P84" s="4">
        <v>2.2624770000000001</v>
      </c>
      <c r="Q84" s="4">
        <v>2.4228390000000002</v>
      </c>
      <c r="R84" s="4">
        <v>2.5947429999999998</v>
      </c>
      <c r="S84" s="4">
        <v>2.7790339999999998</v>
      </c>
      <c r="T84" s="4">
        <v>2.9766149999999998</v>
      </c>
      <c r="U84" s="4">
        <v>3.1884610000000002</v>
      </c>
      <c r="V84" s="4">
        <v>3.4156140000000001</v>
      </c>
      <c r="W84" s="4">
        <v>3.6591990000000001</v>
      </c>
      <c r="X84" s="4">
        <v>3.9204189999999999</v>
      </c>
      <c r="Y84" s="4">
        <v>4.2005710000000001</v>
      </c>
      <c r="Z84" s="4">
        <v>4.5010459999999997</v>
      </c>
      <c r="AA84" s="4">
        <v>4.82334</v>
      </c>
      <c r="AB84" s="4">
        <v>5.1690589999999998</v>
      </c>
      <c r="AC84" s="4">
        <v>5.5399289999999999</v>
      </c>
      <c r="AD84" s="4">
        <v>5.5399289999999999</v>
      </c>
    </row>
    <row xmlns:x14ac="http://schemas.microsoft.com/office/spreadsheetml/2009/9/ac" r="85" x14ac:dyDescent="0.25">
      <c r="A85" t="s">
        <v>116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</row>
    <row xmlns:x14ac="http://schemas.microsoft.com/office/spreadsheetml/2009/9/ac" r="86" x14ac:dyDescent="0.25">
      <c r="A86" s="2" t="s">
        <v>117</v>
      </c>
      <c r="B86" s="2"/>
      <c r="C86" s="2"/>
      <c r="D86" s="10">
        <v>2025</v>
      </c>
      <c r="E86" s="9">
        <v>2026</v>
      </c>
      <c r="F86" s="9">
        <v>2027</v>
      </c>
      <c r="G86" s="9">
        <v>2028</v>
      </c>
      <c r="H86" s="9">
        <v>2029</v>
      </c>
      <c r="I86" s="9">
        <v>2030</v>
      </c>
      <c r="J86" s="9">
        <v>2031</v>
      </c>
      <c r="K86" s="9">
        <v>2032</v>
      </c>
      <c r="L86" s="9">
        <v>2033</v>
      </c>
      <c r="M86" s="9">
        <v>2034</v>
      </c>
      <c r="N86" s="9">
        <v>2035</v>
      </c>
      <c r="O86" s="9">
        <v>2036</v>
      </c>
      <c r="P86" s="9">
        <v>2037</v>
      </c>
      <c r="Q86" s="9">
        <v>2038</v>
      </c>
      <c r="R86" s="9">
        <v>2039</v>
      </c>
      <c r="S86" s="9">
        <v>2040</v>
      </c>
      <c r="T86" s="9">
        <v>2041</v>
      </c>
      <c r="U86" s="9">
        <v>2042</v>
      </c>
      <c r="V86" s="9">
        <v>2043</v>
      </c>
      <c r="W86" s="9">
        <v>2044</v>
      </c>
      <c r="X86" s="9">
        <v>2045</v>
      </c>
      <c r="Y86" s="9">
        <v>2046</v>
      </c>
      <c r="Z86" s="9">
        <v>2047</v>
      </c>
      <c r="AA86" s="9">
        <v>2048</v>
      </c>
      <c r="AB86" s="9">
        <v>2049</v>
      </c>
      <c r="AC86" s="9">
        <v>2050</v>
      </c>
      <c r="AD86" s="9">
        <v>2051</v>
      </c>
    </row>
    <row xmlns:x14ac="http://schemas.microsoft.com/office/spreadsheetml/2009/9/ac" r="87" x14ac:dyDescent="0.25">
      <c r="A87" s="3" t="s">
        <v>118</v>
      </c>
      <c r="B87" s="3" t="s">
        <v>119</v>
      </c>
      <c r="C87" s="3" t="s">
        <v>13</v>
      </c>
      <c r="D87" s="8">
        <v>1</v>
      </c>
      <c r="E87" s="8">
        <v>1</v>
      </c>
      <c r="F87" s="8">
        <v>1</v>
      </c>
      <c r="G87" s="8">
        <v>1</v>
      </c>
      <c r="H87" s="8">
        <v>1</v>
      </c>
      <c r="I87" s="8">
        <v>1</v>
      </c>
      <c r="J87" s="8">
        <v>1</v>
      </c>
      <c r="K87" s="8">
        <v>1</v>
      </c>
      <c r="L87" s="8">
        <v>1</v>
      </c>
      <c r="M87" s="8">
        <v>1</v>
      </c>
      <c r="N87" s="8">
        <v>1</v>
      </c>
      <c r="O87" s="8">
        <v>1</v>
      </c>
      <c r="P87" s="8">
        <v>1</v>
      </c>
      <c r="Q87" s="8">
        <v>1</v>
      </c>
      <c r="R87" s="8">
        <v>1</v>
      </c>
      <c r="S87" s="8">
        <v>1</v>
      </c>
      <c r="T87" s="8">
        <v>1</v>
      </c>
      <c r="U87" s="8">
        <v>1</v>
      </c>
      <c r="V87" s="8">
        <v>1</v>
      </c>
      <c r="W87" s="8">
        <v>1</v>
      </c>
      <c r="X87" s="8">
        <v>1</v>
      </c>
      <c r="Y87" s="8">
        <v>1</v>
      </c>
      <c r="Z87" s="8">
        <v>1</v>
      </c>
      <c r="AA87" s="8">
        <v>1</v>
      </c>
      <c r="AB87" s="8">
        <v>1</v>
      </c>
      <c r="AC87" s="8">
        <v>1</v>
      </c>
      <c r="AD87" s="8">
        <v>0</v>
      </c>
    </row>
    <row xmlns:x14ac="http://schemas.microsoft.com/office/spreadsheetml/2009/9/ac" r="88" x14ac:dyDescent="0.25">
      <c r="A88" s="3" t="s">
        <v>120</v>
      </c>
      <c r="B88" s="3" t="s">
        <v>121</v>
      </c>
      <c r="C88" s="3" t="s">
        <v>13</v>
      </c>
      <c r="D88" s="8">
        <v>0.14000000000000001</v>
      </c>
      <c r="E88" s="8">
        <v>0.14000000000000001</v>
      </c>
      <c r="F88" s="8">
        <v>0.14000000000000001</v>
      </c>
      <c r="G88" s="8">
        <v>0.14000000000000001</v>
      </c>
      <c r="H88" s="8">
        <v>0.14000000000000001</v>
      </c>
      <c r="I88" s="8">
        <v>0.14000000000000001</v>
      </c>
      <c r="J88" s="8">
        <v>0.14000000000000001</v>
      </c>
      <c r="K88" s="8">
        <v>0.14000000000000001</v>
      </c>
      <c r="L88" s="8">
        <v>0.14000000000000001</v>
      </c>
      <c r="M88" s="8">
        <v>0.14000000000000001</v>
      </c>
      <c r="N88" s="8">
        <v>0.14000000000000001</v>
      </c>
      <c r="O88" s="8">
        <v>0.14000000000000001</v>
      </c>
      <c r="P88" s="8">
        <v>0.14000000000000001</v>
      </c>
      <c r="Q88" s="8">
        <v>0.14000000000000001</v>
      </c>
      <c r="R88" s="8">
        <v>0.14000000000000001</v>
      </c>
      <c r="S88" s="8">
        <v>0.14000000000000001</v>
      </c>
      <c r="T88" s="8">
        <v>0.14000000000000001</v>
      </c>
      <c r="U88" s="8">
        <v>0.14000000000000001</v>
      </c>
      <c r="V88" s="8">
        <v>0.14000000000000001</v>
      </c>
      <c r="W88" s="8">
        <v>0.14000000000000001</v>
      </c>
      <c r="X88" s="8">
        <v>0.14000000000000001</v>
      </c>
      <c r="Y88" s="8">
        <v>0.14000000000000001</v>
      </c>
      <c r="Z88" s="8">
        <v>0.14000000000000001</v>
      </c>
      <c r="AA88" s="8">
        <v>0.14000000000000001</v>
      </c>
      <c r="AB88" s="8">
        <v>0.14000000000000001</v>
      </c>
      <c r="AC88" s="8">
        <v>0.14000000000000001</v>
      </c>
      <c r="AD88" s="8">
        <v>0.14000000000000001</v>
      </c>
    </row>
    <row xmlns:x14ac="http://schemas.microsoft.com/office/spreadsheetml/2009/9/ac" r="89" x14ac:dyDescent="0.25">
      <c r="A89" s="3" t="s">
        <v>122</v>
      </c>
      <c r="B89" s="3" t="s">
        <v>123</v>
      </c>
      <c r="C89" s="3" t="s">
        <v>13</v>
      </c>
      <c r="D89" s="8">
        <v>1</v>
      </c>
      <c r="E89" s="8">
        <v>1</v>
      </c>
      <c r="F89" s="8">
        <v>1</v>
      </c>
      <c r="G89" s="8">
        <v>1</v>
      </c>
      <c r="H89" s="8">
        <v>1</v>
      </c>
      <c r="I89" s="8">
        <v>1</v>
      </c>
      <c r="J89" s="8">
        <v>1</v>
      </c>
      <c r="K89" s="8">
        <v>1</v>
      </c>
      <c r="L89" s="8">
        <v>1</v>
      </c>
      <c r="M89" s="8">
        <v>1</v>
      </c>
      <c r="N89" s="8">
        <v>1</v>
      </c>
      <c r="O89" s="8">
        <v>1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8">
        <v>1</v>
      </c>
      <c r="X89" s="8">
        <v>1</v>
      </c>
      <c r="Y89" s="8">
        <v>1</v>
      </c>
      <c r="Z89" s="8">
        <v>1</v>
      </c>
      <c r="AA89" s="8">
        <v>1</v>
      </c>
      <c r="AB89" s="8">
        <v>1</v>
      </c>
      <c r="AC89" s="8">
        <v>1</v>
      </c>
      <c r="AD89" s="8">
        <v>0</v>
      </c>
    </row>
    <row xmlns:x14ac="http://schemas.microsoft.com/office/spreadsheetml/2009/9/ac" r="90" x14ac:dyDescent="0.25">
      <c r="A90" s="3" t="s">
        <v>124</v>
      </c>
      <c r="B90" s="3" t="s">
        <v>125</v>
      </c>
      <c r="C90" s="3" t="s">
        <v>13</v>
      </c>
      <c r="D90" s="8">
        <v>0.19</v>
      </c>
      <c r="E90" s="8">
        <v>0.19</v>
      </c>
      <c r="F90" s="8">
        <v>0.19</v>
      </c>
      <c r="G90" s="8">
        <v>0.19</v>
      </c>
      <c r="H90" s="8">
        <v>0.19</v>
      </c>
      <c r="I90" s="8">
        <v>0.19</v>
      </c>
      <c r="J90" s="8">
        <v>0.19</v>
      </c>
      <c r="K90" s="8">
        <v>0.19</v>
      </c>
      <c r="L90" s="8">
        <v>0.19</v>
      </c>
      <c r="M90" s="8">
        <v>0.19</v>
      </c>
      <c r="N90" s="8">
        <v>0.19</v>
      </c>
      <c r="O90" s="8">
        <v>0.19</v>
      </c>
      <c r="P90" s="8">
        <v>0.19</v>
      </c>
      <c r="Q90" s="8">
        <v>0.19</v>
      </c>
      <c r="R90" s="8">
        <v>0.19</v>
      </c>
      <c r="S90" s="8">
        <v>0.19</v>
      </c>
      <c r="T90" s="8">
        <v>0.19</v>
      </c>
      <c r="U90" s="8">
        <v>0.19</v>
      </c>
      <c r="V90" s="8">
        <v>0.19</v>
      </c>
      <c r="W90" s="8">
        <v>0.19</v>
      </c>
      <c r="X90" s="8">
        <v>0.19</v>
      </c>
      <c r="Y90" s="8">
        <v>0.19</v>
      </c>
      <c r="Z90" s="8">
        <v>0.19</v>
      </c>
      <c r="AA90" s="8">
        <v>0.19</v>
      </c>
      <c r="AB90" s="8">
        <v>0.19</v>
      </c>
      <c r="AC90" s="8">
        <v>0.19</v>
      </c>
      <c r="AD90" s="8">
        <v>0.19</v>
      </c>
    </row>
    <row xmlns:x14ac="http://schemas.microsoft.com/office/spreadsheetml/2009/9/ac" r="91" x14ac:dyDescent="0.25">
      <c r="A91" s="3" t="s">
        <v>126</v>
      </c>
      <c r="B91" s="3" t="s">
        <v>127</v>
      </c>
      <c r="C91" s="3" t="s">
        <v>13</v>
      </c>
      <c r="D91">
        <v>-1.735640648011794E-2</v>
      </c>
      <c r="E91">
        <v>-1.735640648011794E-2</v>
      </c>
      <c r="F91">
        <v>-1.735640648011794E-2</v>
      </c>
      <c r="G91">
        <v>-1.735640648011794E-2</v>
      </c>
      <c r="H91">
        <v>-1.735640648011794E-2</v>
      </c>
      <c r="I91">
        <v>-1.735640648011794E-2</v>
      </c>
      <c r="J91">
        <v>-1.735640648011794E-2</v>
      </c>
      <c r="K91">
        <v>-1.735640648011794E-2</v>
      </c>
      <c r="L91">
        <v>-1.735640648011794E-2</v>
      </c>
      <c r="M91">
        <v>-1.735640648011794E-2</v>
      </c>
      <c r="N91">
        <v>-1.735640648011794E-2</v>
      </c>
      <c r="O91">
        <v>-1.735640648011794E-2</v>
      </c>
      <c r="P91">
        <v>-1.735640648011794E-2</v>
      </c>
      <c r="Q91">
        <v>-1.735640648011794E-2</v>
      </c>
      <c r="R91">
        <v>-1.735640648011794E-2</v>
      </c>
      <c r="S91">
        <v>-1.735640648011794E-2</v>
      </c>
      <c r="T91">
        <v>-1.735640648011794E-2</v>
      </c>
      <c r="U91">
        <v>-1.735640648011794E-2</v>
      </c>
      <c r="V91">
        <v>-1.735640648011794E-2</v>
      </c>
      <c r="W91">
        <v>-1.735640648011794E-2</v>
      </c>
      <c r="X91">
        <v>-1.735640648011794E-2</v>
      </c>
      <c r="Y91">
        <v>-1.735640648011794E-2</v>
      </c>
      <c r="Z91">
        <v>-1.735640648011794E-2</v>
      </c>
      <c r="AA91">
        <v>-1.735640648011794E-2</v>
      </c>
      <c r="AB91">
        <v>-1.735640648011794E-2</v>
      </c>
      <c r="AC91">
        <v>-1.735640648011794E-2</v>
      </c>
      <c r="AD91">
        <v>-1.735640648011794E-2</v>
      </c>
    </row>
    <row xmlns:x14ac="http://schemas.microsoft.com/office/spreadsheetml/2009/9/ac" r="92" x14ac:dyDescent="0.25">
      <c r="A92" t="s">
        <v>128</v>
      </c>
      <c r="B92" t="s">
        <v>129</v>
      </c>
      <c r="C92" t="s">
        <v>13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0</v>
      </c>
    </row>
    <row xmlns:x14ac="http://schemas.microsoft.com/office/spreadsheetml/2009/9/ac" r="93" x14ac:dyDescent="0.25">
      <c r="A93" s="2" t="s">
        <v>130</v>
      </c>
      <c r="B93" s="2" t="s">
        <v>131</v>
      </c>
      <c r="C93" s="2" t="s">
        <v>13</v>
      </c>
      <c r="D93" s="10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</row>
    <row xmlns:x14ac="http://schemas.microsoft.com/office/spreadsheetml/2009/9/ac" r="94" x14ac:dyDescent="0.25">
      <c r="A94" s="3" t="s">
        <v>132</v>
      </c>
      <c r="B94" s="3" t="s">
        <v>133</v>
      </c>
      <c r="C94" s="3" t="s">
        <v>13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</row>
    <row xmlns:x14ac="http://schemas.microsoft.com/office/spreadsheetml/2009/9/ac" r="95" x14ac:dyDescent="0.25">
      <c r="A95" s="3" t="s">
        <v>134</v>
      </c>
      <c r="B95" s="3" t="s">
        <v>135</v>
      </c>
      <c r="C95" s="3" t="s">
        <v>13</v>
      </c>
      <c r="D95" s="8">
        <v>1</v>
      </c>
      <c r="E95" s="8">
        <v>1</v>
      </c>
      <c r="F95" s="8">
        <v>1</v>
      </c>
      <c r="G95" s="8">
        <v>1</v>
      </c>
      <c r="H95" s="8">
        <v>1</v>
      </c>
      <c r="I95" s="8">
        <v>1</v>
      </c>
      <c r="J95" s="8">
        <v>1</v>
      </c>
      <c r="K95" s="8">
        <v>1</v>
      </c>
      <c r="L95" s="8">
        <v>1</v>
      </c>
      <c r="M95" s="8">
        <v>1</v>
      </c>
      <c r="N95" s="8">
        <v>1</v>
      </c>
      <c r="O95" s="8">
        <v>1</v>
      </c>
      <c r="P95" s="8">
        <v>1</v>
      </c>
      <c r="Q95" s="8">
        <v>1</v>
      </c>
      <c r="R95" s="8">
        <v>1</v>
      </c>
      <c r="S95" s="8">
        <v>1</v>
      </c>
      <c r="T95" s="8">
        <v>1</v>
      </c>
      <c r="U95" s="8">
        <v>1</v>
      </c>
      <c r="V95" s="8">
        <v>1</v>
      </c>
      <c r="W95" s="8">
        <v>1</v>
      </c>
      <c r="X95" s="8">
        <v>1</v>
      </c>
      <c r="Y95" s="8">
        <v>1</v>
      </c>
      <c r="Z95" s="8">
        <v>1</v>
      </c>
      <c r="AA95" s="8">
        <v>1</v>
      </c>
      <c r="AB95" s="8">
        <v>1</v>
      </c>
      <c r="AC95" s="8">
        <v>1</v>
      </c>
      <c r="AD95" s="8">
        <v>0</v>
      </c>
    </row>
    <row xmlns:x14ac="http://schemas.microsoft.com/office/spreadsheetml/2009/9/ac" r="96" x14ac:dyDescent="0.25">
      <c r="A96" s="3" t="s">
        <v>136</v>
      </c>
      <c r="B96" s="3" t="s">
        <v>137</v>
      </c>
      <c r="C96" s="3" t="s">
        <v>13</v>
      </c>
      <c r="D96" s="8">
        <v>0.85</v>
      </c>
      <c r="E96" s="8">
        <v>0.85</v>
      </c>
      <c r="F96" s="8">
        <v>0.85</v>
      </c>
      <c r="G96" s="8">
        <v>0.85</v>
      </c>
      <c r="H96" s="8">
        <v>0.85</v>
      </c>
      <c r="I96" s="8">
        <v>0.85</v>
      </c>
      <c r="J96" s="8">
        <v>0.85</v>
      </c>
      <c r="K96" s="8">
        <v>0.85</v>
      </c>
      <c r="L96" s="8">
        <v>0.85</v>
      </c>
      <c r="M96" s="8">
        <v>0.85</v>
      </c>
      <c r="N96" s="8">
        <v>0.85</v>
      </c>
      <c r="O96" s="8">
        <v>0.85</v>
      </c>
      <c r="P96" s="8">
        <v>0.85</v>
      </c>
      <c r="Q96" s="8">
        <v>0.85</v>
      </c>
      <c r="R96" s="8">
        <v>0.85</v>
      </c>
      <c r="S96" s="8">
        <v>0.85</v>
      </c>
      <c r="T96" s="8">
        <v>0.85</v>
      </c>
      <c r="U96" s="8">
        <v>0.85</v>
      </c>
      <c r="V96" s="8">
        <v>0.85</v>
      </c>
      <c r="W96" s="8">
        <v>0.85</v>
      </c>
      <c r="X96" s="8">
        <v>0.85</v>
      </c>
      <c r="Y96" s="8">
        <v>0.85</v>
      </c>
      <c r="Z96" s="8">
        <v>0.85</v>
      </c>
      <c r="AA96" s="8">
        <v>0.85</v>
      </c>
      <c r="AB96" s="8">
        <v>0.85</v>
      </c>
      <c r="AC96" s="8">
        <v>0.85</v>
      </c>
      <c r="AD96" s="8">
        <v>0.85</v>
      </c>
    </row>
    <row xmlns:x14ac="http://schemas.microsoft.com/office/spreadsheetml/2009/9/ac" r="97" x14ac:dyDescent="0.25">
      <c r="D97" s="4">
        <v>2025</v>
      </c>
      <c r="E97" s="4">
        <v>2026</v>
      </c>
      <c r="F97" s="4">
        <v>2027</v>
      </c>
      <c r="G97" s="4">
        <v>2028</v>
      </c>
      <c r="H97" s="4">
        <v>2029</v>
      </c>
      <c r="I97" s="4">
        <v>2030</v>
      </c>
      <c r="J97" s="4">
        <v>2031</v>
      </c>
      <c r="K97" s="4">
        <v>2032</v>
      </c>
      <c r="L97" s="4">
        <v>2033</v>
      </c>
      <c r="M97" s="4">
        <v>2034</v>
      </c>
      <c r="N97" s="4">
        <v>2035</v>
      </c>
      <c r="O97" s="4">
        <v>2036</v>
      </c>
      <c r="P97" s="4">
        <v>2037</v>
      </c>
      <c r="Q97" s="4">
        <v>2038</v>
      </c>
      <c r="R97" s="4">
        <v>2039</v>
      </c>
      <c r="S97" s="4">
        <v>2040</v>
      </c>
      <c r="T97" s="4">
        <v>2041</v>
      </c>
      <c r="U97" s="4">
        <v>2042</v>
      </c>
      <c r="V97" s="4">
        <v>2043</v>
      </c>
      <c r="W97" s="4">
        <v>2044</v>
      </c>
      <c r="X97" s="4">
        <v>2045</v>
      </c>
      <c r="Y97" s="4">
        <v>2046</v>
      </c>
      <c r="Z97" s="4">
        <v>2047</v>
      </c>
      <c r="AA97" s="4">
        <v>2048</v>
      </c>
      <c r="AB97" s="4">
        <v>2049</v>
      </c>
      <c r="AC97" s="4">
        <v>2050</v>
      </c>
      <c r="AD97" s="4">
        <v>2051</v>
      </c>
    </row>
    <row xmlns:x14ac="http://schemas.microsoft.com/office/spreadsheetml/2009/9/ac" r="98" x14ac:dyDescent="0.25">
      <c r="A98" t="s">
        <v>138</v>
      </c>
      <c r="B98" t="s">
        <v>139</v>
      </c>
      <c r="C98" t="s">
        <v>13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</row>
    <row xmlns:x14ac="http://schemas.microsoft.com/office/spreadsheetml/2009/9/ac" r="99" x14ac:dyDescent="0.25">
      <c r="A99" t="s">
        <v>140</v>
      </c>
      <c r="B99" t="s">
        <v>141</v>
      </c>
      <c r="C99" t="s">
        <v>13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</row>
    <row xmlns:x14ac="http://schemas.microsoft.com/office/spreadsheetml/2009/9/ac" r="100" x14ac:dyDescent="0.25">
      <c r="A100" t="s">
        <v>142</v>
      </c>
      <c r="B100" t="s">
        <v>143</v>
      </c>
      <c r="C100" t="s">
        <v>13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pane xSplit="4" ySplit="9" topLeftCell="E10" activePane="bottomRight" state="frozenSplit"/>
      <selection activeCell="G22" sqref="G22"/>
      <selection pane="topRight" activeCell="G22" sqref="G22"/>
      <selection pane="bottomLeft" activeCell="G22" sqref="G22"/>
      <selection pane="bottomRight" activeCell="G22" sqref="G22"/>
    </sheetView>
  </sheetViews>
  <sheetFormatPr defaultRowHeight="15" x14ac:dyDescent="0.25"/>
  <cols>
    <col min="1" max="1" width="6.85546875" customWidth="1"/>
    <col min="2" max="2" width="14.7109375" customWidth="1"/>
    <col min="3" max="3" width="15.7109375" customWidth="1"/>
    <col min="4" max="4" width="11.28515625" customWidth="1"/>
    <col min="5" max="5" width="13.7109375" customWidth="1"/>
    <col min="6" max="6" width="12.7109375" customWidth="1"/>
    <col min="7" max="7" width="14.42578125" customWidth="1"/>
    <col min="8" max="30" width="5.140625" customWidth="1"/>
  </cols>
  <sheetData>
    <row r="1" spans="1:7" ht="18.75" customHeight="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>
        <v>2</v>
      </c>
      <c r="B2">
        <f t="shared" ref="B2:B26" si="0">LN(E2)</f>
        <v>4.8790164169432049E-2</v>
      </c>
      <c r="C2">
        <v>1</v>
      </c>
      <c r="D2">
        <v>0</v>
      </c>
      <c r="E2">
        <f>EXP([1]Baseline!P2)</f>
        <v>1.05</v>
      </c>
      <c r="F2">
        <f>EXP([1]Baseline!P2)</f>
        <v>1.05</v>
      </c>
      <c r="G2">
        <f t="shared" ref="G2:G26" si="1">LN(MIN(1,E2^2))</f>
        <v>0</v>
      </c>
    </row>
    <row r="3" spans="1:7" x14ac:dyDescent="0.25">
      <c r="A3">
        <v>3</v>
      </c>
      <c r="B3">
        <f t="shared" si="0"/>
        <v>2.7055672023425903E-2</v>
      </c>
      <c r="C3">
        <v>1</v>
      </c>
      <c r="D3">
        <v>0</v>
      </c>
      <c r="E3">
        <f>EXP([1]Baseline!P3)*0.95^($A3/$A$3)</f>
        <v>1.027425</v>
      </c>
      <c r="F3">
        <f>EXP([1]Baseline!P3)</f>
        <v>1.0815000000000001</v>
      </c>
      <c r="G3">
        <f t="shared" si="1"/>
        <v>0</v>
      </c>
    </row>
    <row r="4" spans="1:7" x14ac:dyDescent="0.25">
      <c r="A4">
        <v>4</v>
      </c>
      <c r="B4">
        <f t="shared" si="0"/>
        <v>2.9760534523755506E-2</v>
      </c>
      <c r="C4">
        <v>1</v>
      </c>
      <c r="D4">
        <v>0</v>
      </c>
      <c r="E4">
        <f>EXP([1]Baseline!P4)*0.95^(A4/$A$3)</f>
        <v>1.0302078052104824</v>
      </c>
      <c r="F4">
        <f>EXP([1]Baseline!P4)</f>
        <v>1.1031300000000002</v>
      </c>
      <c r="G4">
        <f t="shared" si="1"/>
        <v>0</v>
      </c>
    </row>
    <row r="5" spans="1:7" x14ac:dyDescent="0.25">
      <c r="A5">
        <v>5</v>
      </c>
      <c r="B5">
        <f t="shared" si="0"/>
        <v>2.2613100581073256E-2</v>
      </c>
      <c r="C5">
        <v>1</v>
      </c>
      <c r="D5">
        <v>0</v>
      </c>
      <c r="E5">
        <f>EXP([1]Baseline!P5)*0.95^(A5/$A$3)</f>
        <v>1.0228707148947611</v>
      </c>
      <c r="F5">
        <f>EXP([1]Baseline!P5)</f>
        <v>1.1141613000000001</v>
      </c>
      <c r="G5">
        <f t="shared" si="1"/>
        <v>0</v>
      </c>
    </row>
    <row r="6" spans="1:7" x14ac:dyDescent="0.25">
      <c r="A6">
        <v>6</v>
      </c>
      <c r="B6">
        <f t="shared" si="0"/>
        <v>5.5153357852233045E-3</v>
      </c>
      <c r="C6">
        <v>1</v>
      </c>
      <c r="D6">
        <v>0</v>
      </c>
      <c r="E6">
        <f>EXP([1]Baseline!P6)*0.95^(A6/$A$3)</f>
        <v>1.0055305732500002</v>
      </c>
      <c r="F6">
        <f>EXP([1]Baseline!P6)</f>
        <v>1.1141613000000001</v>
      </c>
      <c r="G6">
        <f t="shared" si="1"/>
        <v>0</v>
      </c>
    </row>
    <row r="7" spans="1:7" x14ac:dyDescent="0.25">
      <c r="A7">
        <v>7</v>
      </c>
      <c r="B7">
        <f t="shared" si="0"/>
        <v>-2.1632764864128393E-2</v>
      </c>
      <c r="C7">
        <v>1</v>
      </c>
      <c r="D7">
        <v>0</v>
      </c>
      <c r="E7">
        <f>EXP([1]Baseline!P7)*0.95^(A7/$A$3)</f>
        <v>0.97859954520846326</v>
      </c>
      <c r="F7">
        <f>EXP([1]Baseline!P7)</f>
        <v>1.1030196870000002</v>
      </c>
      <c r="G7">
        <f t="shared" si="1"/>
        <v>-4.3265529728256806E-2</v>
      </c>
    </row>
    <row r="8" spans="1:7" x14ac:dyDescent="0.25">
      <c r="A8">
        <v>8</v>
      </c>
      <c r="B8">
        <f t="shared" si="0"/>
        <v>-0.18415169436190337</v>
      </c>
      <c r="C8">
        <v>1</v>
      </c>
      <c r="D8">
        <v>0</v>
      </c>
      <c r="E8">
        <f t="shared" ref="E8:E26" si="2">MAX(0.05,E7*0.85)</f>
        <v>0.83180961342719373</v>
      </c>
      <c r="F8">
        <f>EXP([1]Baseline!P8)</f>
        <v>1.0809592932600001</v>
      </c>
      <c r="G8">
        <f t="shared" si="1"/>
        <v>-0.3683033887238068</v>
      </c>
    </row>
    <row r="9" spans="1:7" x14ac:dyDescent="0.25">
      <c r="A9">
        <v>9</v>
      </c>
      <c r="B9">
        <f t="shared" si="0"/>
        <v>-0.34667062385967828</v>
      </c>
      <c r="C9">
        <v>1</v>
      </c>
      <c r="D9">
        <v>0</v>
      </c>
      <c r="E9">
        <f t="shared" si="2"/>
        <v>0.70703817141311465</v>
      </c>
      <c r="F9">
        <f>EXP([1]Baseline!P9)</f>
        <v>1.0485305144622001</v>
      </c>
      <c r="G9">
        <f t="shared" si="1"/>
        <v>-0.69334124771935668</v>
      </c>
    </row>
    <row r="10" spans="1:7" x14ac:dyDescent="0.25">
      <c r="A10">
        <v>10</v>
      </c>
      <c r="B10">
        <f t="shared" si="0"/>
        <v>-0.5091895533574532</v>
      </c>
      <c r="C10">
        <v>1</v>
      </c>
      <c r="D10">
        <v>0</v>
      </c>
      <c r="E10">
        <f t="shared" si="2"/>
        <v>0.60098244570114745</v>
      </c>
      <c r="F10">
        <f>EXP([1]Baseline!P10)</f>
        <v>1.0065892938837122</v>
      </c>
      <c r="G10">
        <f t="shared" si="1"/>
        <v>-1.0183791067149064</v>
      </c>
    </row>
    <row r="11" spans="1:7" x14ac:dyDescent="0.25">
      <c r="A11">
        <v>11</v>
      </c>
      <c r="B11">
        <f t="shared" si="0"/>
        <v>-0.67170848285522811</v>
      </c>
      <c r="C11">
        <v>1</v>
      </c>
      <c r="D11">
        <v>0</v>
      </c>
      <c r="E11">
        <f t="shared" si="2"/>
        <v>0.51083507884597534</v>
      </c>
      <c r="F11">
        <f>EXP([1]Baseline!P11)</f>
        <v>0.95625982918952668</v>
      </c>
      <c r="G11">
        <f t="shared" si="1"/>
        <v>-1.3434169657104562</v>
      </c>
    </row>
    <row r="12" spans="1:7" x14ac:dyDescent="0.25">
      <c r="A12">
        <v>12</v>
      </c>
      <c r="B12">
        <f t="shared" si="0"/>
        <v>-0.83422741235300313</v>
      </c>
      <c r="C12">
        <v>1</v>
      </c>
      <c r="D12">
        <v>0</v>
      </c>
      <c r="E12">
        <f t="shared" si="2"/>
        <v>0.43420981701907901</v>
      </c>
      <c r="F12">
        <f>EXP([1]Baseline!P12)</f>
        <v>0.8988842394381551</v>
      </c>
      <c r="G12">
        <f t="shared" si="1"/>
        <v>-1.6684548247060063</v>
      </c>
    </row>
    <row r="13" spans="1:7" x14ac:dyDescent="0.25">
      <c r="A13">
        <v>13</v>
      </c>
      <c r="B13">
        <f t="shared" si="0"/>
        <v>-0.99674634185077793</v>
      </c>
      <c r="C13">
        <v>1</v>
      </c>
      <c r="D13">
        <v>0</v>
      </c>
      <c r="E13">
        <f t="shared" si="2"/>
        <v>0.36907834446621718</v>
      </c>
      <c r="F13">
        <f>EXP([1]Baseline!P13)</f>
        <v>0.83596234267748426</v>
      </c>
      <c r="G13">
        <f t="shared" si="1"/>
        <v>-1.9934926837015561</v>
      </c>
    </row>
    <row r="14" spans="1:7" x14ac:dyDescent="0.25">
      <c r="A14">
        <v>14</v>
      </c>
      <c r="B14">
        <f t="shared" si="0"/>
        <v>-1.159265271348553</v>
      </c>
      <c r="C14">
        <v>1</v>
      </c>
      <c r="D14">
        <v>0</v>
      </c>
      <c r="E14">
        <f t="shared" si="2"/>
        <v>0.31371659279628461</v>
      </c>
      <c r="F14">
        <f>EXP([1]Baseline!P14)</f>
        <v>0.76908535526328559</v>
      </c>
      <c r="G14">
        <f t="shared" si="1"/>
        <v>-2.3185305426971059</v>
      </c>
    </row>
    <row r="15" spans="1:7" x14ac:dyDescent="0.25">
      <c r="A15">
        <v>15</v>
      </c>
      <c r="B15">
        <f t="shared" si="0"/>
        <v>-1.3217842008463279</v>
      </c>
      <c r="C15">
        <v>1</v>
      </c>
      <c r="D15">
        <v>0</v>
      </c>
      <c r="E15">
        <f t="shared" si="2"/>
        <v>0.26665910387684189</v>
      </c>
      <c r="F15">
        <f>EXP([1]Baseline!P15)</f>
        <v>0.69986767328958988</v>
      </c>
      <c r="G15">
        <f t="shared" si="1"/>
        <v>-2.6435684016926557</v>
      </c>
    </row>
    <row r="16" spans="1:7" x14ac:dyDescent="0.25">
      <c r="A16">
        <v>16</v>
      </c>
      <c r="B16">
        <f t="shared" si="0"/>
        <v>-1.4843031303441028</v>
      </c>
      <c r="C16">
        <v>1</v>
      </c>
      <c r="D16">
        <v>0</v>
      </c>
      <c r="E16">
        <f t="shared" si="2"/>
        <v>0.22666023829531559</v>
      </c>
      <c r="F16">
        <f>EXP([1]Baseline!P16)</f>
        <v>0.62988090596063095</v>
      </c>
      <c r="G16">
        <f t="shared" si="1"/>
        <v>-2.9686062606882055</v>
      </c>
    </row>
    <row r="17" spans="1:7" x14ac:dyDescent="0.25">
      <c r="A17">
        <v>17</v>
      </c>
      <c r="B17">
        <f t="shared" si="0"/>
        <v>-1.6468220598418779</v>
      </c>
      <c r="C17">
        <v>1</v>
      </c>
      <c r="D17">
        <v>0</v>
      </c>
      <c r="E17">
        <f t="shared" si="2"/>
        <v>0.19266120255101823</v>
      </c>
      <c r="F17">
        <f>EXP([1]Baseline!P17)</f>
        <v>0.56059400630496159</v>
      </c>
      <c r="G17">
        <f t="shared" si="1"/>
        <v>-3.2936441196837558</v>
      </c>
    </row>
    <row r="18" spans="1:7" x14ac:dyDescent="0.25">
      <c r="A18">
        <v>18</v>
      </c>
      <c r="B18">
        <f t="shared" si="0"/>
        <v>-1.8093409893396528</v>
      </c>
      <c r="C18">
        <v>1</v>
      </c>
      <c r="D18">
        <v>0</v>
      </c>
      <c r="E18">
        <f t="shared" si="2"/>
        <v>0.1637620221683655</v>
      </c>
      <c r="F18">
        <f>EXP([1]Baseline!P18)</f>
        <v>0.4933227255483662</v>
      </c>
      <c r="G18">
        <f t="shared" si="1"/>
        <v>-3.6186819786793056</v>
      </c>
    </row>
    <row r="19" spans="1:7" x14ac:dyDescent="0.25">
      <c r="A19">
        <v>19</v>
      </c>
      <c r="B19">
        <f t="shared" si="0"/>
        <v>-1.9718599188374277</v>
      </c>
      <c r="C19">
        <v>1</v>
      </c>
      <c r="D19">
        <v>0</v>
      </c>
      <c r="E19">
        <f t="shared" si="2"/>
        <v>0.13919771884311066</v>
      </c>
      <c r="F19">
        <f>EXP([1]Baseline!P19)</f>
        <v>0.42919077122707866</v>
      </c>
      <c r="G19">
        <f t="shared" si="1"/>
        <v>-3.9437198376748555</v>
      </c>
    </row>
    <row r="20" spans="1:7" x14ac:dyDescent="0.25">
      <c r="A20">
        <v>20</v>
      </c>
      <c r="B20">
        <f t="shared" si="0"/>
        <v>-2.1343788483352029</v>
      </c>
      <c r="C20">
        <v>1</v>
      </c>
      <c r="D20">
        <v>0</v>
      </c>
      <c r="E20">
        <f t="shared" si="2"/>
        <v>0.11831806101664406</v>
      </c>
      <c r="F20">
        <f>EXP([1]Baseline!P20)</f>
        <v>0.36910406325528766</v>
      </c>
      <c r="G20">
        <f t="shared" si="1"/>
        <v>-4.2687576966704057</v>
      </c>
    </row>
    <row r="21" spans="1:7" x14ac:dyDescent="0.25">
      <c r="A21">
        <v>21</v>
      </c>
      <c r="B21">
        <f t="shared" si="0"/>
        <v>-2.2968977778329775</v>
      </c>
      <c r="C21">
        <v>1</v>
      </c>
      <c r="D21">
        <v>0</v>
      </c>
      <c r="E21">
        <f t="shared" si="2"/>
        <v>0.10057035186414745</v>
      </c>
      <c r="F21">
        <f>EXP([1]Baseline!P21)</f>
        <v>0.31373845376699455</v>
      </c>
      <c r="G21">
        <f t="shared" si="1"/>
        <v>-4.5937955556659551</v>
      </c>
    </row>
    <row r="22" spans="1:7" x14ac:dyDescent="0.25">
      <c r="A22">
        <v>22</v>
      </c>
      <c r="B22">
        <f t="shared" si="0"/>
        <v>-2.4594167073307527</v>
      </c>
      <c r="C22">
        <v>1</v>
      </c>
      <c r="D22">
        <v>0</v>
      </c>
      <c r="E22">
        <f t="shared" si="2"/>
        <v>8.5484799084525331E-2</v>
      </c>
      <c r="F22">
        <f>EXP([1]Baseline!P22)</f>
        <v>0.26354030116427546</v>
      </c>
      <c r="G22">
        <f t="shared" si="1"/>
        <v>-4.9188334146615054</v>
      </c>
    </row>
    <row r="23" spans="1:7" x14ac:dyDescent="0.25">
      <c r="A23">
        <v>23</v>
      </c>
      <c r="B23">
        <f t="shared" si="0"/>
        <v>-2.6219356368285274</v>
      </c>
      <c r="C23">
        <v>1</v>
      </c>
      <c r="D23">
        <v>0</v>
      </c>
      <c r="E23">
        <f t="shared" si="2"/>
        <v>7.2662079221846532E-2</v>
      </c>
      <c r="F23">
        <f>EXP([1]Baseline!P23)</f>
        <v>0.25</v>
      </c>
      <c r="G23">
        <f t="shared" si="1"/>
        <v>-5.2438712736570547</v>
      </c>
    </row>
    <row r="24" spans="1:7" x14ac:dyDescent="0.25">
      <c r="A24">
        <v>24</v>
      </c>
      <c r="B24">
        <f t="shared" si="0"/>
        <v>-2.7844545663263025</v>
      </c>
      <c r="C24">
        <v>1</v>
      </c>
      <c r="D24">
        <v>0</v>
      </c>
      <c r="E24">
        <f t="shared" si="2"/>
        <v>6.1762767338569551E-2</v>
      </c>
      <c r="F24">
        <f>EXP([1]Baseline!P24)</f>
        <v>0.25</v>
      </c>
      <c r="G24">
        <f t="shared" si="1"/>
        <v>-5.568909132652605</v>
      </c>
    </row>
    <row r="25" spans="1:7" x14ac:dyDescent="0.25">
      <c r="A25">
        <v>25</v>
      </c>
      <c r="B25">
        <f t="shared" si="0"/>
        <v>-2.9469734958240772</v>
      </c>
      <c r="C25">
        <v>1</v>
      </c>
      <c r="D25">
        <v>0</v>
      </c>
      <c r="E25">
        <f t="shared" si="2"/>
        <v>5.2498352237784117E-2</v>
      </c>
      <c r="F25">
        <f>EXP([1]Baseline!P25)</f>
        <v>0.25</v>
      </c>
      <c r="G25">
        <f t="shared" si="1"/>
        <v>-5.8939469916481544</v>
      </c>
    </row>
    <row r="26" spans="1:7" x14ac:dyDescent="0.25">
      <c r="A26">
        <v>26</v>
      </c>
      <c r="B26">
        <f t="shared" si="0"/>
        <v>-2.9957322735539909</v>
      </c>
      <c r="C26">
        <v>1</v>
      </c>
      <c r="D26">
        <v>0</v>
      </c>
      <c r="E26">
        <f t="shared" si="2"/>
        <v>0.05</v>
      </c>
      <c r="F26">
        <f>EXP([1]Baseline!P26)</f>
        <v>0.25</v>
      </c>
      <c r="G26">
        <f t="shared" si="1"/>
        <v>-5.9914645471079817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1.50503358535015E-2</v>
      </c>
      <c r="D2">
        <v>2.80321716972643E-2</v>
      </c>
      <c r="E2">
        <v>1.6279069767441898E-2</v>
      </c>
      <c r="F2">
        <v>1.50581395348837E-2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2.85131894229331E-2</v>
      </c>
      <c r="D3">
        <v>5.3967960605833802E-2</v>
      </c>
      <c r="E3">
        <v>2.1419860542164802E-2</v>
      </c>
      <c r="F3">
        <v>1.89826512398392E-2</v>
      </c>
      <c r="G3">
        <v>0</v>
      </c>
      <c r="H3">
        <v>0.13539852345039699</v>
      </c>
      <c r="I3">
        <v>3.1663721700717698E-3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4.6210554390183803E-2</v>
      </c>
      <c r="D4">
        <v>8.3506718401182095E-2</v>
      </c>
      <c r="E4">
        <v>2.8401302376947098E-2</v>
      </c>
      <c r="F4">
        <v>2.47520000513657E-2</v>
      </c>
      <c r="G4">
        <v>0</v>
      </c>
      <c r="H4">
        <v>0.20319958603028701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8.1842156115721904E-2</v>
      </c>
      <c r="D5">
        <v>0.128303171707772</v>
      </c>
      <c r="E5">
        <v>4.3102886212165903E-2</v>
      </c>
      <c r="F5">
        <v>3.8245258305189302E-2</v>
      </c>
      <c r="G5">
        <v>0</v>
      </c>
      <c r="H5">
        <v>0.27106781689211501</v>
      </c>
      <c r="I5">
        <v>1.32928768636114E-2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0.14330697020560099</v>
      </c>
      <c r="D6">
        <v>0.19485379741025199</v>
      </c>
      <c r="E6">
        <v>6.9091195307744699E-2</v>
      </c>
      <c r="F6">
        <v>6.3028632517047004E-2</v>
      </c>
      <c r="G6">
        <v>0</v>
      </c>
      <c r="H6">
        <v>0.33900402892857001</v>
      </c>
      <c r="I6">
        <v>2.57265046935394E-2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0.15247172281882199</v>
      </c>
      <c r="D7">
        <v>0.211889942181509</v>
      </c>
      <c r="E7">
        <v>7.5679175470951501E-2</v>
      </c>
      <c r="F7">
        <v>6.9207537828523694E-2</v>
      </c>
      <c r="G7">
        <v>0</v>
      </c>
      <c r="H7">
        <v>0.40700858300437598</v>
      </c>
      <c r="I7">
        <v>1.0399210423646501E-2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0.16090284891805201</v>
      </c>
      <c r="D8">
        <v>0.228476871766298</v>
      </c>
      <c r="E8">
        <v>8.2182975990666499E-2</v>
      </c>
      <c r="F8">
        <v>7.5445998581930601E-2</v>
      </c>
      <c r="G8">
        <v>0</v>
      </c>
      <c r="H8">
        <v>0.475080097150964</v>
      </c>
      <c r="I8">
        <v>1.0975493606026799E-2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0.168648164670225</v>
      </c>
      <c r="D9">
        <v>0.24462892743141801</v>
      </c>
      <c r="E9">
        <v>8.8604545932006201E-2</v>
      </c>
      <c r="F9">
        <v>8.1744433381918793E-2</v>
      </c>
      <c r="G9">
        <v>0</v>
      </c>
      <c r="H9">
        <v>0.54322040082674306</v>
      </c>
      <c r="I9">
        <v>1.15581509372509E-2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</v>
      </c>
      <c r="D10">
        <v>0.26036066475975</v>
      </c>
      <c r="E10">
        <v>9.4945639453574607E-2</v>
      </c>
      <c r="F10">
        <v>8.8103218972674605E-2</v>
      </c>
      <c r="G10">
        <v>0</v>
      </c>
      <c r="H10">
        <v>0.61142831892488603</v>
      </c>
      <c r="I10">
        <v>1.21471824173198E-2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</v>
      </c>
      <c r="D11">
        <v>0.27568679322415002</v>
      </c>
      <c r="E11">
        <v>0.101207835298117</v>
      </c>
      <c r="F11">
        <v>9.4522694423965103E-2</v>
      </c>
      <c r="G11">
        <v>0</v>
      </c>
      <c r="H11">
        <v>0.679704227596719</v>
      </c>
      <c r="I11">
        <v>1.27425880462323E-2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0.198157667586394</v>
      </c>
      <c r="D12">
        <v>0.29996495332350798</v>
      </c>
      <c r="E12">
        <v>0.112431373323825</v>
      </c>
      <c r="F12">
        <v>0.106469156865245</v>
      </c>
      <c r="G12">
        <v>0</v>
      </c>
      <c r="H12">
        <v>0.74804815942090097</v>
      </c>
      <c r="I12">
        <v>1.8810359790653E-2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0.212731798066984</v>
      </c>
      <c r="D13">
        <v>0.32344394222078898</v>
      </c>
      <c r="E13">
        <v>0.123506992577226</v>
      </c>
      <c r="F13">
        <v>0.118547559223303</v>
      </c>
      <c r="G13">
        <v>0</v>
      </c>
      <c r="H13">
        <v>0.81646023079441599</v>
      </c>
      <c r="I13">
        <v>2.0035783160861201E-2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0.226052078962688</v>
      </c>
      <c r="D14">
        <v>0.34613568619276702</v>
      </c>
      <c r="E14">
        <v>0.13443584396177999</v>
      </c>
      <c r="F14">
        <v>0.13075814867999799</v>
      </c>
      <c r="G14">
        <v>0</v>
      </c>
      <c r="H14">
        <v>0.88493999307285998</v>
      </c>
      <c r="I14">
        <v>2.1274647704607599E-2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0.23818377112778699</v>
      </c>
      <c r="D15">
        <v>0.36805379161305402</v>
      </c>
      <c r="E15">
        <v>0.14521896329060199</v>
      </c>
      <c r="F15">
        <v>0.143101147699007</v>
      </c>
      <c r="G15">
        <v>0</v>
      </c>
      <c r="H15">
        <v>0.95348747510454002</v>
      </c>
      <c r="I15">
        <v>2.2526953421891999E-2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0.24919306119699</v>
      </c>
      <c r="D16">
        <v>0.38921343121676699</v>
      </c>
      <c r="E16">
        <v>0.15585728279549499</v>
      </c>
      <c r="F16">
        <v>0.155576756497635</v>
      </c>
      <c r="G16">
        <v>0</v>
      </c>
      <c r="H16">
        <v>1.0221033853022901</v>
      </c>
      <c r="I16">
        <v>2.3792700312714899E-2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0.26031112639778098</v>
      </c>
      <c r="D17">
        <v>0.41096662958402402</v>
      </c>
      <c r="E17">
        <v>0.16734635434820799</v>
      </c>
      <c r="F17">
        <v>0.16934487721222499</v>
      </c>
      <c r="G17">
        <v>0</v>
      </c>
      <c r="H17">
        <v>1.0907867488468199</v>
      </c>
      <c r="I17">
        <v>2.6232307992260701E-2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0.27029943380683602</v>
      </c>
      <c r="D18">
        <v>0.43192035918314797</v>
      </c>
      <c r="E18">
        <v>0.178673284711688</v>
      </c>
      <c r="F18">
        <v>0.18325985557029001</v>
      </c>
      <c r="G18">
        <v>0</v>
      </c>
      <c r="H18">
        <v>1.1595383552415901</v>
      </c>
      <c r="I18">
        <v>2.76555125909154E-2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0.45209211427559198</v>
      </c>
      <c r="E19">
        <v>0.18983917208757101</v>
      </c>
      <c r="F19">
        <v>0.19732190032094399</v>
      </c>
      <c r="G19">
        <v>0</v>
      </c>
      <c r="H19">
        <v>1.2283572718835301</v>
      </c>
      <c r="I19">
        <v>2.9093611703031898E-2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0.28716310631201197</v>
      </c>
      <c r="D20">
        <v>0.47150085809082998</v>
      </c>
      <c r="E20">
        <v>0.20084500485732801</v>
      </c>
      <c r="F20">
        <v>0.21153119933839101</v>
      </c>
      <c r="G20">
        <v>0</v>
      </c>
      <c r="H20">
        <v>1.29724427100256</v>
      </c>
      <c r="I20">
        <v>3.0546605328610602E-2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</v>
      </c>
      <c r="D21">
        <v>0.49016687474767701</v>
      </c>
      <c r="E21">
        <v>0.21169167256428501</v>
      </c>
      <c r="F21">
        <v>0.22588792170941199</v>
      </c>
      <c r="G21">
        <v>0</v>
      </c>
      <c r="H21">
        <v>1.3661985358453801</v>
      </c>
      <c r="I21">
        <v>3.2014493467651103E-2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0.290460545859764</v>
      </c>
      <c r="D22">
        <v>0.49675749389414497</v>
      </c>
      <c r="E22">
        <v>0.21534609669979499</v>
      </c>
      <c r="F22">
        <v>0.23164634913241</v>
      </c>
      <c r="G22">
        <v>0</v>
      </c>
      <c r="H22">
        <v>1.4352204684295899</v>
      </c>
      <c r="I22">
        <v>2.4751405640450998E-2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0.28693258129093302</v>
      </c>
      <c r="D23">
        <v>0.50332547430376995</v>
      </c>
      <c r="E23">
        <v>0.21895066574817201</v>
      </c>
      <c r="F23">
        <v>0.23744627898120699</v>
      </c>
      <c r="G23">
        <v>0</v>
      </c>
      <c r="H23">
        <v>1.50430981420969</v>
      </c>
      <c r="I23">
        <v>2.5268285692270499E-2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0.28359047275879601</v>
      </c>
      <c r="D24">
        <v>0.50987708210895899</v>
      </c>
      <c r="E24">
        <v>0.222506028186501</v>
      </c>
      <c r="F24">
        <v>0.243287834520067</v>
      </c>
      <c r="G24">
        <v>0</v>
      </c>
      <c r="H24">
        <v>1.57346663414433</v>
      </c>
      <c r="I24">
        <v>2.57894392509345E-2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0.280433083650585</v>
      </c>
      <c r="D25">
        <v>0.51641818554841001</v>
      </c>
      <c r="E25">
        <v>0.22601276764415701</v>
      </c>
      <c r="F25">
        <v>0.249171126686829</v>
      </c>
      <c r="G25">
        <v>0</v>
      </c>
      <c r="H25">
        <v>1.6426906603488001</v>
      </c>
      <c r="I25">
        <v>2.63148663164425E-2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0.27745888892626702</v>
      </c>
      <c r="D26">
        <v>0.52295427184592302</v>
      </c>
      <c r="E26">
        <v>0.22947140938757901</v>
      </c>
      <c r="F26">
        <v>0.25509625532554597</v>
      </c>
      <c r="G26">
        <v>0</v>
      </c>
      <c r="H26">
        <v>1.7119816847925899</v>
      </c>
      <c r="I26">
        <v>2.68445668887951E-2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0.27474733379739102</v>
      </c>
      <c r="D27">
        <v>0.52487491235762396</v>
      </c>
      <c r="E27">
        <v>0.23109109665973601</v>
      </c>
      <c r="F27">
        <v>0.256010045585013</v>
      </c>
      <c r="G27">
        <v>0</v>
      </c>
      <c r="H27">
        <v>1.7119816847925899</v>
      </c>
      <c r="I27">
        <v>2.2423415792021801E-2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1.50503358535015E-2</v>
      </c>
      <c r="D2">
        <v>2.80321716972643E-2</v>
      </c>
      <c r="E2">
        <v>1.6279069767441898E-2</v>
      </c>
      <c r="F2">
        <v>1.50581395348837E-2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2.85131894229331E-2</v>
      </c>
      <c r="D3">
        <v>5.3967960605833802E-2</v>
      </c>
      <c r="E3">
        <v>2.1419860542164802E-2</v>
      </c>
      <c r="F3">
        <v>1.89826512398392E-2</v>
      </c>
      <c r="G3">
        <v>0</v>
      </c>
      <c r="H3">
        <v>0.13539852345039699</v>
      </c>
      <c r="I3">
        <v>3.1663721700717698E-3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4.6210554390183803E-2</v>
      </c>
      <c r="D4">
        <v>8.3506718401182095E-2</v>
      </c>
      <c r="E4">
        <v>2.8401302376947098E-2</v>
      </c>
      <c r="F4">
        <v>2.47520000513657E-2</v>
      </c>
      <c r="G4">
        <v>0</v>
      </c>
      <c r="H4">
        <v>0.20319958603028701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8.1842156115721904E-2</v>
      </c>
      <c r="D5">
        <v>0.128303171707772</v>
      </c>
      <c r="E5">
        <v>4.3102886212165903E-2</v>
      </c>
      <c r="F5">
        <v>3.8245258305189302E-2</v>
      </c>
      <c r="G5">
        <v>0</v>
      </c>
      <c r="H5">
        <v>0.27106781689211501</v>
      </c>
      <c r="I5">
        <v>1.32928768636114E-2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0.14330697020560099</v>
      </c>
      <c r="D6">
        <v>0.19485379741025199</v>
      </c>
      <c r="E6">
        <v>6.9091195307744699E-2</v>
      </c>
      <c r="F6">
        <v>6.3028632517047004E-2</v>
      </c>
      <c r="G6">
        <v>0</v>
      </c>
      <c r="H6">
        <v>0.33900402892857001</v>
      </c>
      <c r="I6">
        <v>2.57265046935394E-2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0.15247172281882199</v>
      </c>
      <c r="D7">
        <v>0.211889942181509</v>
      </c>
      <c r="E7">
        <v>7.5679175470951501E-2</v>
      </c>
      <c r="F7">
        <v>6.9207537828523694E-2</v>
      </c>
      <c r="G7">
        <v>0</v>
      </c>
      <c r="H7">
        <v>0.40700858300437598</v>
      </c>
      <c r="I7">
        <v>1.0399210423646501E-2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0.16090284891805201</v>
      </c>
      <c r="D8">
        <v>0.228476871766298</v>
      </c>
      <c r="E8">
        <v>8.2182975990666499E-2</v>
      </c>
      <c r="F8">
        <v>7.5445998581930601E-2</v>
      </c>
      <c r="G8">
        <v>0</v>
      </c>
      <c r="H8">
        <v>0.475080097150964</v>
      </c>
      <c r="I8">
        <v>1.0975493606026799E-2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0.168648164670225</v>
      </c>
      <c r="D9">
        <v>0.24462892743141801</v>
      </c>
      <c r="E9">
        <v>8.8604545932006201E-2</v>
      </c>
      <c r="F9">
        <v>8.1744433381918793E-2</v>
      </c>
      <c r="G9">
        <v>0</v>
      </c>
      <c r="H9">
        <v>0.54322040082674306</v>
      </c>
      <c r="I9">
        <v>1.15581509372509E-2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</v>
      </c>
      <c r="D10">
        <v>0.26036066475975</v>
      </c>
      <c r="E10">
        <v>9.4945639453574607E-2</v>
      </c>
      <c r="F10">
        <v>8.8103218972674605E-2</v>
      </c>
      <c r="G10">
        <v>0</v>
      </c>
      <c r="H10">
        <v>0.61142831892488603</v>
      </c>
      <c r="I10">
        <v>1.21471824173198E-2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</v>
      </c>
      <c r="D11">
        <v>0.27568679322415002</v>
      </c>
      <c r="E11">
        <v>0.101207835298117</v>
      </c>
      <c r="F11">
        <v>9.4522694423965103E-2</v>
      </c>
      <c r="G11">
        <v>0</v>
      </c>
      <c r="H11">
        <v>0.679704227596719</v>
      </c>
      <c r="I11">
        <v>1.27425880462323E-2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0.198157667586394</v>
      </c>
      <c r="D12">
        <v>0.29996495332350798</v>
      </c>
      <c r="E12">
        <v>0.112431373323825</v>
      </c>
      <c r="F12">
        <v>0.106469156865245</v>
      </c>
      <c r="G12">
        <v>0</v>
      </c>
      <c r="H12">
        <v>0.74804815942090097</v>
      </c>
      <c r="I12">
        <v>1.8810359790653E-2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0.212731798066984</v>
      </c>
      <c r="D13">
        <v>0.32344394222078898</v>
      </c>
      <c r="E13">
        <v>0.123506992577226</v>
      </c>
      <c r="F13">
        <v>0.118547559223303</v>
      </c>
      <c r="G13">
        <v>0</v>
      </c>
      <c r="H13">
        <v>0.81646023079441599</v>
      </c>
      <c r="I13">
        <v>2.0035783160861201E-2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0.226052078962688</v>
      </c>
      <c r="D14">
        <v>0.34613568619276702</v>
      </c>
      <c r="E14">
        <v>0.13443584396177999</v>
      </c>
      <c r="F14">
        <v>0.13075814867999799</v>
      </c>
      <c r="G14">
        <v>0</v>
      </c>
      <c r="H14">
        <v>0.88493999307285998</v>
      </c>
      <c r="I14">
        <v>2.1274647704607599E-2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0.23818377112778699</v>
      </c>
      <c r="D15">
        <v>0.36805379161305402</v>
      </c>
      <c r="E15">
        <v>0.14521896329060199</v>
      </c>
      <c r="F15">
        <v>0.143101147699007</v>
      </c>
      <c r="G15">
        <v>0</v>
      </c>
      <c r="H15">
        <v>0.95348747510454002</v>
      </c>
      <c r="I15">
        <v>2.2526953421891999E-2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0.24919306119699</v>
      </c>
      <c r="D16">
        <v>0.38921343121676699</v>
      </c>
      <c r="E16">
        <v>0.15585728279549499</v>
      </c>
      <c r="F16">
        <v>0.155576756497635</v>
      </c>
      <c r="G16">
        <v>0</v>
      </c>
      <c r="H16">
        <v>1.0221033853022901</v>
      </c>
      <c r="I16">
        <v>2.3792700312714899E-2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0.26031112639778098</v>
      </c>
      <c r="D17">
        <v>0.41096662958402402</v>
      </c>
      <c r="E17">
        <v>0.16734635434820799</v>
      </c>
      <c r="F17">
        <v>0.16934487721222499</v>
      </c>
      <c r="G17">
        <v>0</v>
      </c>
      <c r="H17">
        <v>1.0907867488468199</v>
      </c>
      <c r="I17">
        <v>2.6232307992260701E-2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0.27029943380683602</v>
      </c>
      <c r="D18">
        <v>0.43192035918314797</v>
      </c>
      <c r="E18">
        <v>0.178673284711688</v>
      </c>
      <c r="F18">
        <v>0.18325985557029001</v>
      </c>
      <c r="G18">
        <v>0</v>
      </c>
      <c r="H18">
        <v>1.1595383552415901</v>
      </c>
      <c r="I18">
        <v>2.76555125909154E-2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0.45209211427559198</v>
      </c>
      <c r="E19">
        <v>0.18983917208757101</v>
      </c>
      <c r="F19">
        <v>0.19732190032094399</v>
      </c>
      <c r="G19">
        <v>0</v>
      </c>
      <c r="H19">
        <v>1.2283572718835301</v>
      </c>
      <c r="I19">
        <v>2.9093611703031898E-2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0.28716310631201197</v>
      </c>
      <c r="D20">
        <v>0.47150085809082998</v>
      </c>
      <c r="E20">
        <v>0.20084500485732801</v>
      </c>
      <c r="F20">
        <v>0.21153119933839101</v>
      </c>
      <c r="G20">
        <v>0</v>
      </c>
      <c r="H20">
        <v>1.29724427100256</v>
      </c>
      <c r="I20">
        <v>3.0546605328610602E-2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</v>
      </c>
      <c r="D21">
        <v>0.49016687474767701</v>
      </c>
      <c r="E21">
        <v>0.21169167256428501</v>
      </c>
      <c r="F21">
        <v>0.22588792170941199</v>
      </c>
      <c r="G21">
        <v>0</v>
      </c>
      <c r="H21">
        <v>1.3661985358453801</v>
      </c>
      <c r="I21">
        <v>3.2014493467651103E-2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0.290460545859764</v>
      </c>
      <c r="D22">
        <v>0.49675749389414497</v>
      </c>
      <c r="E22">
        <v>0.21534609669979499</v>
      </c>
      <c r="F22">
        <v>0.23164634913241</v>
      </c>
      <c r="G22">
        <v>0</v>
      </c>
      <c r="H22">
        <v>1.4352204684295899</v>
      </c>
      <c r="I22">
        <v>2.4751405640450998E-2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0.28693258129093302</v>
      </c>
      <c r="D23">
        <v>0.50332547430376995</v>
      </c>
      <c r="E23">
        <v>0.21895066574817201</v>
      </c>
      <c r="F23">
        <v>0.23744627898120699</v>
      </c>
      <c r="G23">
        <v>0</v>
      </c>
      <c r="H23">
        <v>1.50430981420969</v>
      </c>
      <c r="I23">
        <v>2.5268285692270499E-2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0.28359047275879601</v>
      </c>
      <c r="D24">
        <v>0.50987708210895899</v>
      </c>
      <c r="E24">
        <v>0.222506028186501</v>
      </c>
      <c r="F24">
        <v>0.243287834520067</v>
      </c>
      <c r="G24">
        <v>0</v>
      </c>
      <c r="H24">
        <v>1.57346663414433</v>
      </c>
      <c r="I24">
        <v>2.57894392509345E-2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0.280433083650585</v>
      </c>
      <c r="D25">
        <v>0.51641818554841001</v>
      </c>
      <c r="E25">
        <v>0.22601276764415701</v>
      </c>
      <c r="F25">
        <v>0.249171126686829</v>
      </c>
      <c r="G25">
        <v>0</v>
      </c>
      <c r="H25">
        <v>1.6426906603488001</v>
      </c>
      <c r="I25">
        <v>2.63148663164425E-2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0.27745888892626702</v>
      </c>
      <c r="D26">
        <v>0.52295427184592302</v>
      </c>
      <c r="E26">
        <v>0.22947140938757901</v>
      </c>
      <c r="F26">
        <v>0.25509625532554597</v>
      </c>
      <c r="G26">
        <v>0</v>
      </c>
      <c r="H26">
        <v>1.7119816847925899</v>
      </c>
      <c r="I26">
        <v>2.68445668887951E-2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0.27474733379739102</v>
      </c>
      <c r="D27">
        <v>0.52487491235762396</v>
      </c>
      <c r="E27">
        <v>0.23109109665973601</v>
      </c>
      <c r="F27">
        <v>0.256010045585013</v>
      </c>
      <c r="G27">
        <v>0</v>
      </c>
      <c r="H27">
        <v>1.7119816847925899</v>
      </c>
      <c r="I27">
        <v>2.2423415792021801E-2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2.5202707317519502E-2</v>
      </c>
      <c r="D2">
        <v>3.5113637810048101E-2</v>
      </c>
      <c r="E2">
        <v>1.6418604651162801E-2</v>
      </c>
      <c r="F2">
        <v>1.50883720930233E-2</v>
      </c>
      <c r="G2">
        <v>1.6744186046511601E-3</v>
      </c>
      <c r="H2">
        <v>7.2652732019529306E-2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4.7473531946636498E-2</v>
      </c>
      <c r="D3">
        <v>6.7199705815453301E-2</v>
      </c>
      <c r="E3">
        <v>2.16791628677462E-2</v>
      </c>
      <c r="F3">
        <v>1.9039511704955499E-2</v>
      </c>
      <c r="G3">
        <v>4.2296511627907003E-3</v>
      </c>
      <c r="H3">
        <v>0.146585712840962</v>
      </c>
      <c r="I3">
        <v>3.1663721700717698E-3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7.4148222400599303E-2</v>
      </c>
      <c r="D4">
        <v>0.102964577550523</v>
      </c>
      <c r="E4">
        <v>2.8762581446714501E-2</v>
      </c>
      <c r="F4">
        <v>2.4832244237412201E-2</v>
      </c>
      <c r="G4">
        <v>6.3218023255813896E-3</v>
      </c>
      <c r="H4">
        <v>0.22054822436489999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0.118931808260049</v>
      </c>
      <c r="D5">
        <v>0.15406451388407799</v>
      </c>
      <c r="E5">
        <v>4.35501303982124E-2</v>
      </c>
      <c r="F5">
        <v>3.8345966444724197E-2</v>
      </c>
      <c r="G5">
        <v>7.9971802325581407E-3</v>
      </c>
      <c r="H5">
        <v>0.29454017307725699</v>
      </c>
      <c r="I5">
        <v>1.32928768636114E-2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</v>
      </c>
      <c r="D6">
        <v>0.22699757046494201</v>
      </c>
      <c r="E6">
        <v>6.9609994144954002E-2</v>
      </c>
      <c r="F6">
        <v>6.3147176819372597E-2</v>
      </c>
      <c r="G6">
        <v>9.2974622093023197E-3</v>
      </c>
      <c r="H6">
        <v>0.36856283117011401</v>
      </c>
      <c r="I6">
        <v>2.57265046935394E-2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0.19959145630936201</v>
      </c>
      <c r="D7">
        <v>0.24437684248057501</v>
      </c>
      <c r="E7">
        <v>7.6261210703509705E-2</v>
      </c>
      <c r="F7">
        <v>6.9342134677360903E-2</v>
      </c>
      <c r="G7">
        <v>1.0307250872093001E-2</v>
      </c>
      <c r="H7">
        <v>0.440443359090614</v>
      </c>
      <c r="I7">
        <v>1.0399210423646501E-2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0.20872240989502999</v>
      </c>
      <c r="D8">
        <v>0.26130757849943198</v>
      </c>
      <c r="E8">
        <v>8.2820761188340905E-2</v>
      </c>
      <c r="F8">
        <v>7.5595042722628306E-2</v>
      </c>
      <c r="G8">
        <v>1.1155595552325599E-2</v>
      </c>
      <c r="H8">
        <v>0.51237588189466099</v>
      </c>
      <c r="I8">
        <v>1.0975493606026799E-2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0.27780412182728198</v>
      </c>
      <c r="E9">
        <v>8.9291343307587603E-2</v>
      </c>
      <c r="F9">
        <v>8.1906480085290806E-2</v>
      </c>
      <c r="G9">
        <v>1.18586406482558E-2</v>
      </c>
      <c r="H9">
        <v>0.58436234415791799</v>
      </c>
      <c r="I9">
        <v>1.15581509372509E-2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0.22497923666845901</v>
      </c>
      <c r="D10">
        <v>0.293881030094228</v>
      </c>
      <c r="E10">
        <v>9.56753849985746E-2</v>
      </c>
      <c r="F10">
        <v>8.82769679824537E-2</v>
      </c>
      <c r="G10">
        <v>1.2430916118313999E-2</v>
      </c>
      <c r="H10">
        <v>0.65640168456761705</v>
      </c>
      <c r="I10">
        <v>1.21471824173198E-2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</v>
      </c>
      <c r="D11">
        <v>0.30955301482863801</v>
      </c>
      <c r="E11">
        <v>0.10197507140489601</v>
      </c>
      <c r="F11">
        <v>9.4706975509510405E-2</v>
      </c>
      <c r="G11">
        <v>1.28854989250872E-2</v>
      </c>
      <c r="H11">
        <v>0.72849439176615105</v>
      </c>
      <c r="I11">
        <v>1.27425880462323E-2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0.24879601161759901</v>
      </c>
      <c r="D12">
        <v>0.33417771859324702</v>
      </c>
      <c r="E12">
        <v>0.11323118814550701</v>
      </c>
      <c r="F12">
        <v>0.10666291681898001</v>
      </c>
      <c r="G12">
        <v>1.32341583349041E-2</v>
      </c>
      <c r="H12">
        <v>0.80064060954007099</v>
      </c>
      <c r="I12">
        <v>1.8810359790653E-2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0.26407974771648302</v>
      </c>
      <c r="D13">
        <v>0.35800394062324598</v>
      </c>
      <c r="E13">
        <v>0.12433496545162399</v>
      </c>
      <c r="F13">
        <v>0.118749850158408</v>
      </c>
      <c r="G13">
        <v>1.34874866874602E-2</v>
      </c>
      <c r="H13">
        <v>0.87284056423052403</v>
      </c>
      <c r="I13">
        <v>2.0035783160861201E-2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0.278111614972754</v>
      </c>
      <c r="D14">
        <v>0.38104360927605402</v>
      </c>
      <c r="E14">
        <v>0.13528799629292401</v>
      </c>
      <c r="F14">
        <v>0.130968117498338</v>
      </c>
      <c r="G14">
        <v>1.3655017088481601E-2</v>
      </c>
      <c r="H14">
        <v>0.94509391589260705</v>
      </c>
      <c r="I14">
        <v>2.1274647704607599E-2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0.29095688272655001</v>
      </c>
      <c r="D15">
        <v>0.40331033301438901</v>
      </c>
      <c r="E15">
        <v>0.14609171434212001</v>
      </c>
      <c r="F15">
        <v>0.14331802661225601</v>
      </c>
      <c r="G15">
        <v>1.37453293331218E-2</v>
      </c>
      <c r="H15">
        <v>1.0174008008481901</v>
      </c>
      <c r="I15">
        <v>2.2526953421891999E-2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0.30268174614797499</v>
      </c>
      <c r="D16">
        <v>0.42481928667098101</v>
      </c>
      <c r="E16">
        <v>0.156747409904652</v>
      </c>
      <c r="F16">
        <v>0.15579985449630401</v>
      </c>
      <c r="G16">
        <v>1.37661452370189E-2</v>
      </c>
      <c r="H16">
        <v>1.08976203377611</v>
      </c>
      <c r="I16">
        <v>2.3792700312714899E-2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0.314378347668057</v>
      </c>
      <c r="D17">
        <v>0.44701412007840102</v>
      </c>
      <c r="E17">
        <v>0.168253282699938</v>
      </c>
      <c r="F17">
        <v>0.16957380494591101</v>
      </c>
      <c r="G17">
        <v>1.4440693504014701E-2</v>
      </c>
      <c r="H17">
        <v>1.16124521249538</v>
      </c>
      <c r="I17">
        <v>2.6232307992260701E-2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0.32494613008898099</v>
      </c>
      <c r="D18">
        <v>0.46841004387162599</v>
      </c>
      <c r="E18">
        <v>0.17959649697243099</v>
      </c>
      <c r="F18">
        <v>0.183494262623631</v>
      </c>
      <c r="G18">
        <v>1.50059264791946E-2</v>
      </c>
      <c r="H18">
        <v>1.23278881698118</v>
      </c>
      <c r="I18">
        <v>2.76555125909154E-2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0.33445428502945501</v>
      </c>
      <c r="D19">
        <v>0.48902455341801399</v>
      </c>
      <c r="E19">
        <v>0.190778202657123</v>
      </c>
      <c r="F19">
        <v>0.19756147132011301</v>
      </c>
      <c r="G19">
        <v>1.54727756917403E-2</v>
      </c>
      <c r="H19">
        <v>1.30439195815953</v>
      </c>
      <c r="I19">
        <v>2.9093611703031898E-2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0.34297157823989299</v>
      </c>
      <c r="D20">
        <v>0.50887661305596799</v>
      </c>
      <c r="E20">
        <v>0.20179943469550701</v>
      </c>
      <c r="F20">
        <v>0.21177565044694499</v>
      </c>
      <c r="G20">
        <v>1.58510795179151E-2</v>
      </c>
      <c r="H20">
        <v>1.3760554514268499</v>
      </c>
      <c r="I20">
        <v>3.0546605328610602E-2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0.35056583680147302</v>
      </c>
      <c r="D21">
        <v>0.52798650801626301</v>
      </c>
      <c r="E21">
        <v>0.212661124534925</v>
      </c>
      <c r="F21">
        <v>0.22613699747455299</v>
      </c>
      <c r="G21">
        <v>1.6149692496356199E-2</v>
      </c>
      <c r="H21">
        <v>1.4477785228378099</v>
      </c>
      <c r="I21">
        <v>3.2014493467651103E-2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0.34743457692054103</v>
      </c>
      <c r="D22">
        <v>0.53502156906192</v>
      </c>
      <c r="E22">
        <v>0.21633023138034699</v>
      </c>
      <c r="F22">
        <v>0.23189981964661799</v>
      </c>
      <c r="G22">
        <v>1.6376583711836801E-2</v>
      </c>
      <c r="H22">
        <v>1.5195616168633399</v>
      </c>
      <c r="I22">
        <v>2.4751405640450998E-2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0.34449081675425502</v>
      </c>
      <c r="D23">
        <v>0.54203455608453799</v>
      </c>
      <c r="E23">
        <v>0.21994917765834399</v>
      </c>
      <c r="F23">
        <v>0.237703937327715</v>
      </c>
      <c r="G23">
        <v>1.6538925340653099E-2</v>
      </c>
      <c r="H23">
        <v>1.59140452106063</v>
      </c>
      <c r="I23">
        <v>2.5268285692270499E-2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0.34173386574757397</v>
      </c>
      <c r="D24">
        <v>0.54903173633765601</v>
      </c>
      <c r="E24">
        <v>0.22351864239402799</v>
      </c>
      <c r="F24">
        <v>0.24354949447378499</v>
      </c>
      <c r="G24">
        <v>1.6643172341471502E-2</v>
      </c>
      <c r="H24">
        <v>1.6633073381441199</v>
      </c>
      <c r="I24">
        <v>2.57894392509345E-2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0.33916258972257501</v>
      </c>
      <c r="D25">
        <v>0.55601897918417698</v>
      </c>
      <c r="E25">
        <v>0.22703923671000101</v>
      </c>
      <c r="F25">
        <v>0.24943662064517499</v>
      </c>
      <c r="G25">
        <v>1.66951341770918E-2</v>
      </c>
      <c r="H25">
        <v>1.7352698416418899</v>
      </c>
      <c r="I25">
        <v>2.63148663164425E-2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0.33677546608268599</v>
      </c>
      <c r="D26">
        <v>0.56300177297519804</v>
      </c>
      <c r="E26">
        <v>0.23051151061660499</v>
      </c>
      <c r="F26">
        <v>0.25536543244619703</v>
      </c>
      <c r="G26">
        <v>1.6700039364033799E-2</v>
      </c>
      <c r="H26">
        <v>1.80729186459692</v>
      </c>
      <c r="I26">
        <v>2.68445668887951E-2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0.33643657404006699</v>
      </c>
      <c r="D27">
        <v>0.56652431353207</v>
      </c>
      <c r="E27">
        <v>0.23202718776586001</v>
      </c>
      <c r="F27">
        <v>0.25625230499359902</v>
      </c>
      <c r="G27">
        <v>1.50300354276304E-2</v>
      </c>
      <c r="H27">
        <v>1.8111042717890899</v>
      </c>
      <c r="I27">
        <v>2.2423415792021801E-2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2.5202707317519502E-2</v>
      </c>
      <c r="D2">
        <v>3.5113637810048101E-2</v>
      </c>
      <c r="E2">
        <v>1.6418604651162801E-2</v>
      </c>
      <c r="F2">
        <v>1.50883720930233E-2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4.7473531946636498E-2</v>
      </c>
      <c r="D3">
        <v>6.7199705815453301E-2</v>
      </c>
      <c r="E3">
        <v>2.16791628677462E-2</v>
      </c>
      <c r="F3">
        <v>1.9039511704955499E-2</v>
      </c>
      <c r="G3">
        <v>0</v>
      </c>
      <c r="H3">
        <v>0.13539852345039699</v>
      </c>
      <c r="I3">
        <v>3.1663721700717698E-3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7.4148222400599303E-2</v>
      </c>
      <c r="D4">
        <v>0.102964577550523</v>
      </c>
      <c r="E4">
        <v>2.8762581446714501E-2</v>
      </c>
      <c r="F4">
        <v>2.4832244237412201E-2</v>
      </c>
      <c r="G4">
        <v>0</v>
      </c>
      <c r="H4">
        <v>0.20319958603028701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0.118931808260049</v>
      </c>
      <c r="D5">
        <v>0.15406451388407799</v>
      </c>
      <c r="E5">
        <v>4.35501303982124E-2</v>
      </c>
      <c r="F5">
        <v>3.8345966444724197E-2</v>
      </c>
      <c r="G5">
        <v>0</v>
      </c>
      <c r="H5">
        <v>0.27106781689211501</v>
      </c>
      <c r="I5">
        <v>1.32928768636114E-2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</v>
      </c>
      <c r="D6">
        <v>0.22699757046494201</v>
      </c>
      <c r="E6">
        <v>6.9609994144954002E-2</v>
      </c>
      <c r="F6">
        <v>6.3147176819372597E-2</v>
      </c>
      <c r="G6">
        <v>0</v>
      </c>
      <c r="H6">
        <v>0.33900402892857001</v>
      </c>
      <c r="I6">
        <v>2.57265046935394E-2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0.19959145630936201</v>
      </c>
      <c r="D7">
        <v>0.24437684248057501</v>
      </c>
      <c r="E7">
        <v>7.6261210703509705E-2</v>
      </c>
      <c r="F7">
        <v>6.9342134677360903E-2</v>
      </c>
      <c r="G7">
        <v>0</v>
      </c>
      <c r="H7">
        <v>0.40700858300437598</v>
      </c>
      <c r="I7">
        <v>1.0399210423646501E-2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0.20872240989502999</v>
      </c>
      <c r="D8">
        <v>0.26130757849943198</v>
      </c>
      <c r="E8">
        <v>8.2820761188340905E-2</v>
      </c>
      <c r="F8">
        <v>7.5595042722628306E-2</v>
      </c>
      <c r="G8">
        <v>0</v>
      </c>
      <c r="H8">
        <v>0.475080097150964</v>
      </c>
      <c r="I8">
        <v>1.0975493606026799E-2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0.27780412182728198</v>
      </c>
      <c r="E9">
        <v>8.9291343307587603E-2</v>
      </c>
      <c r="F9">
        <v>8.1906480085290806E-2</v>
      </c>
      <c r="G9">
        <v>0</v>
      </c>
      <c r="H9">
        <v>0.54322040082674306</v>
      </c>
      <c r="I9">
        <v>1.15581509372509E-2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0.22497923666845901</v>
      </c>
      <c r="D10">
        <v>0.293881030094228</v>
      </c>
      <c r="E10">
        <v>9.56753849985746E-2</v>
      </c>
      <c r="F10">
        <v>8.82769679824537E-2</v>
      </c>
      <c r="G10">
        <v>0</v>
      </c>
      <c r="H10">
        <v>0.61142831892488603</v>
      </c>
      <c r="I10">
        <v>1.21471824173198E-2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</v>
      </c>
      <c r="D11">
        <v>0.30955301482863801</v>
      </c>
      <c r="E11">
        <v>0.10197507140489601</v>
      </c>
      <c r="F11">
        <v>9.4706975509510405E-2</v>
      </c>
      <c r="G11">
        <v>0</v>
      </c>
      <c r="H11">
        <v>0.679704227596719</v>
      </c>
      <c r="I11">
        <v>1.27425880462323E-2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0.24879601161759901</v>
      </c>
      <c r="D12">
        <v>0.33417771859324702</v>
      </c>
      <c r="E12">
        <v>0.11323118814550701</v>
      </c>
      <c r="F12">
        <v>0.10666291681898001</v>
      </c>
      <c r="G12">
        <v>0</v>
      </c>
      <c r="H12">
        <v>0.74804815942090097</v>
      </c>
      <c r="I12">
        <v>1.8810359790653E-2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0.26407974771648302</v>
      </c>
      <c r="D13">
        <v>0.35800394062324598</v>
      </c>
      <c r="E13">
        <v>0.12433496545162399</v>
      </c>
      <c r="F13">
        <v>0.118749850158408</v>
      </c>
      <c r="G13">
        <v>0</v>
      </c>
      <c r="H13">
        <v>0.81646023079441599</v>
      </c>
      <c r="I13">
        <v>2.0035783160861201E-2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0.278111614972754</v>
      </c>
      <c r="D14">
        <v>0.38104360927605402</v>
      </c>
      <c r="E14">
        <v>0.13528799629292401</v>
      </c>
      <c r="F14">
        <v>0.130968117498338</v>
      </c>
      <c r="G14">
        <v>0</v>
      </c>
      <c r="H14">
        <v>0.88493999307285998</v>
      </c>
      <c r="I14">
        <v>2.1274647704607599E-2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0.29095688272655001</v>
      </c>
      <c r="D15">
        <v>0.40331033301438901</v>
      </c>
      <c r="E15">
        <v>0.14609171434212001</v>
      </c>
      <c r="F15">
        <v>0.14331802661225601</v>
      </c>
      <c r="G15">
        <v>0</v>
      </c>
      <c r="H15">
        <v>0.95348747510454002</v>
      </c>
      <c r="I15">
        <v>2.2526953421891999E-2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0.30268174614797499</v>
      </c>
      <c r="D16">
        <v>0.42481928667098101</v>
      </c>
      <c r="E16">
        <v>0.156747409904652</v>
      </c>
      <c r="F16">
        <v>0.15579985449630401</v>
      </c>
      <c r="G16">
        <v>0</v>
      </c>
      <c r="H16">
        <v>1.0221033853022901</v>
      </c>
      <c r="I16">
        <v>2.3792700312714899E-2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0.314378347668057</v>
      </c>
      <c r="D17">
        <v>0.44701412007840102</v>
      </c>
      <c r="E17">
        <v>0.168253282699938</v>
      </c>
      <c r="F17">
        <v>0.16957380494591101</v>
      </c>
      <c r="G17">
        <v>0</v>
      </c>
      <c r="H17">
        <v>1.0907867488468199</v>
      </c>
      <c r="I17">
        <v>2.6232307992260701E-2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0.32494613008898099</v>
      </c>
      <c r="D18">
        <v>0.46841004387162599</v>
      </c>
      <c r="E18">
        <v>0.17959649697243099</v>
      </c>
      <c r="F18">
        <v>0.183494262623631</v>
      </c>
      <c r="G18">
        <v>0</v>
      </c>
      <c r="H18">
        <v>1.1595383552415901</v>
      </c>
      <c r="I18">
        <v>2.76555125909154E-2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0.33445428502945501</v>
      </c>
      <c r="D19">
        <v>0.48902455341801399</v>
      </c>
      <c r="E19">
        <v>0.190778202657123</v>
      </c>
      <c r="F19">
        <v>0.19756147132011301</v>
      </c>
      <c r="G19">
        <v>0</v>
      </c>
      <c r="H19">
        <v>1.2283572718835301</v>
      </c>
      <c r="I19">
        <v>2.9093611703031898E-2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0.34297157823989299</v>
      </c>
      <c r="D20">
        <v>0.50887661305596799</v>
      </c>
      <c r="E20">
        <v>0.20179943469550701</v>
      </c>
      <c r="F20">
        <v>0.21177565044694499</v>
      </c>
      <c r="G20">
        <v>0</v>
      </c>
      <c r="H20">
        <v>1.29724427100256</v>
      </c>
      <c r="I20">
        <v>3.0546605328610602E-2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0.35056583680147302</v>
      </c>
      <c r="D21">
        <v>0.52798650801626301</v>
      </c>
      <c r="E21">
        <v>0.212661124534925</v>
      </c>
      <c r="F21">
        <v>0.22613699747455299</v>
      </c>
      <c r="G21">
        <v>0</v>
      </c>
      <c r="H21">
        <v>1.3661985358453801</v>
      </c>
      <c r="I21">
        <v>3.2014493467651103E-2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0.34743457692054103</v>
      </c>
      <c r="D22">
        <v>0.53502156906192</v>
      </c>
      <c r="E22">
        <v>0.21633023138034699</v>
      </c>
      <c r="F22">
        <v>0.23189981964661799</v>
      </c>
      <c r="G22">
        <v>0</v>
      </c>
      <c r="H22">
        <v>1.4352204684295899</v>
      </c>
      <c r="I22">
        <v>2.4751405640450998E-2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0.34449081675425502</v>
      </c>
      <c r="D23">
        <v>0.54203455608453799</v>
      </c>
      <c r="E23">
        <v>0.21994917765834399</v>
      </c>
      <c r="F23">
        <v>0.237703937327715</v>
      </c>
      <c r="G23">
        <v>0</v>
      </c>
      <c r="H23">
        <v>1.50430981420969</v>
      </c>
      <c r="I23">
        <v>2.5268285692270499E-2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0.34173386574757397</v>
      </c>
      <c r="D24">
        <v>0.54903173633765601</v>
      </c>
      <c r="E24">
        <v>0.22351864239402799</v>
      </c>
      <c r="F24">
        <v>0.24354949447378499</v>
      </c>
      <c r="G24">
        <v>0</v>
      </c>
      <c r="H24">
        <v>1.57346663414433</v>
      </c>
      <c r="I24">
        <v>2.57894392509345E-2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0.33916258972257501</v>
      </c>
      <c r="D25">
        <v>0.55601897918417698</v>
      </c>
      <c r="E25">
        <v>0.22703923671000101</v>
      </c>
      <c r="F25">
        <v>0.24943662064517499</v>
      </c>
      <c r="G25">
        <v>0</v>
      </c>
      <c r="H25">
        <v>1.6426906603488001</v>
      </c>
      <c r="I25">
        <v>2.63148663164425E-2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0.33677546608268599</v>
      </c>
      <c r="D26">
        <v>0.56300177297519804</v>
      </c>
      <c r="E26">
        <v>0.23051151061660499</v>
      </c>
      <c r="F26">
        <v>0.25536543244619703</v>
      </c>
      <c r="G26">
        <v>0</v>
      </c>
      <c r="H26">
        <v>1.7119816847925899</v>
      </c>
      <c r="I26">
        <v>2.68445668887951E-2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0.33643657404006699</v>
      </c>
      <c r="D27">
        <v>0.56652431353207</v>
      </c>
      <c r="E27">
        <v>0.23202718776586001</v>
      </c>
      <c r="F27">
        <v>0.25625230499359902</v>
      </c>
      <c r="G27">
        <v>0</v>
      </c>
      <c r="H27">
        <v>1.7119816847925899</v>
      </c>
      <c r="I27">
        <v>2.2423415792021801E-2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1.9912566412646601E-2</v>
      </c>
      <c r="D3">
        <v>4.8460534563352801E-2</v>
      </c>
      <c r="E3">
        <v>2.2520833333333299E-2</v>
      </c>
      <c r="F3">
        <v>2.0520833333333301E-2</v>
      </c>
      <c r="G3">
        <v>0</v>
      </c>
      <c r="H3">
        <v>0.13539852345039699</v>
      </c>
      <c r="I3">
        <v>4.8208333333333298E-3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3.4261644101246803E-2</v>
      </c>
      <c r="D4">
        <v>7.6428590828980805E-2</v>
      </c>
      <c r="E4">
        <v>2.9041666666666702E-2</v>
      </c>
      <c r="F4">
        <v>2.6041666666666699E-2</v>
      </c>
      <c r="G4">
        <v>0</v>
      </c>
      <c r="H4">
        <v>0.20319958603028701</v>
      </c>
      <c r="I4">
        <v>5.1729166666666703E-3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4.8639414775819997E-2</v>
      </c>
      <c r="D5">
        <v>0.104405777936715</v>
      </c>
      <c r="E5">
        <v>3.5562499999999997E-2</v>
      </c>
      <c r="F5">
        <v>3.15625E-2</v>
      </c>
      <c r="G5">
        <v>0</v>
      </c>
      <c r="H5">
        <v>0.27106781689211501</v>
      </c>
      <c r="I5">
        <v>5.5250000000000004E-3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0.13273300310045699</v>
      </c>
      <c r="E6">
        <v>4.2083333333333299E-2</v>
      </c>
      <c r="F6">
        <v>3.7083333333333302E-2</v>
      </c>
      <c r="G6">
        <v>0</v>
      </c>
      <c r="H6">
        <v>0.33900402892857001</v>
      </c>
      <c r="I6">
        <v>5.8770833333333401E-3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7.3790870975046996E-2</v>
      </c>
      <c r="D7">
        <v>0.15027472667841599</v>
      </c>
      <c r="E7">
        <v>4.7664266661013199E-2</v>
      </c>
      <c r="F7">
        <v>4.2082646714034597E-2</v>
      </c>
      <c r="G7">
        <v>0</v>
      </c>
      <c r="H7">
        <v>0.40700858300437598</v>
      </c>
      <c r="I7">
        <v>6.7076467140346598E-3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8.3292130686310806E-2</v>
      </c>
      <c r="D8">
        <v>0.16733787297611899</v>
      </c>
      <c r="E8">
        <v>5.3193440922977002E-2</v>
      </c>
      <c r="F8">
        <v>4.7132961042042697E-2</v>
      </c>
      <c r="G8">
        <v>0</v>
      </c>
      <c r="H8">
        <v>0.475080097150964</v>
      </c>
      <c r="I8">
        <v>7.1585789994115297E-3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9.2020146240669606E-2</v>
      </c>
      <c r="D9">
        <v>0.18393577187875601</v>
      </c>
      <c r="E9">
        <v>5.86708561192247E-2</v>
      </c>
      <c r="F9">
        <v>5.2234276317357498E-2</v>
      </c>
      <c r="G9">
        <v>0</v>
      </c>
      <c r="H9">
        <v>0.54322040082674306</v>
      </c>
      <c r="I9">
        <v>7.6146113795190996E-3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0.10002130971421801</v>
      </c>
      <c r="D10">
        <v>0.20008210609707899</v>
      </c>
      <c r="E10">
        <v>6.4096512249756293E-2</v>
      </c>
      <c r="F10">
        <v>5.7386592539979103E-2</v>
      </c>
      <c r="G10">
        <v>0</v>
      </c>
      <c r="H10">
        <v>0.61142831892488603</v>
      </c>
      <c r="I10">
        <v>8.0757438543573295E-3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0.10734106388150901</v>
      </c>
      <c r="D11">
        <v>0.21579084785792699</v>
      </c>
      <c r="E11">
        <v>6.9470409314571893E-2</v>
      </c>
      <c r="F11">
        <v>6.2589909709907396E-2</v>
      </c>
      <c r="G11">
        <v>0</v>
      </c>
      <c r="H11">
        <v>0.679704227596719</v>
      </c>
      <c r="I11">
        <v>8.5419764239262393E-3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0.114463478763563</v>
      </c>
      <c r="D12">
        <v>0.23148673594202801</v>
      </c>
      <c r="E12">
        <v>7.4792547313671395E-2</v>
      </c>
      <c r="F12">
        <v>6.78442278271425E-2</v>
      </c>
      <c r="G12">
        <v>0</v>
      </c>
      <c r="H12">
        <v>0.74804815942090097</v>
      </c>
      <c r="I12">
        <v>9.0133090882258404E-3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</v>
      </c>
      <c r="D13">
        <v>0.24676132524184599</v>
      </c>
      <c r="E13">
        <v>8.00629262470548E-2</v>
      </c>
      <c r="F13">
        <v>7.3149546891684306E-2</v>
      </c>
      <c r="G13">
        <v>0</v>
      </c>
      <c r="H13">
        <v>0.81646023079441599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0.12687411724945899</v>
      </c>
      <c r="D14">
        <v>0.26162794764515801</v>
      </c>
      <c r="E14">
        <v>8.5281546114722204E-2</v>
      </c>
      <c r="F14">
        <v>7.8505866903532895E-2</v>
      </c>
      <c r="G14">
        <v>0</v>
      </c>
      <c r="H14">
        <v>0.88493999307285998</v>
      </c>
      <c r="I14">
        <v>9.9712747010170504E-3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</v>
      </c>
      <c r="D15">
        <v>0.27610012606491202</v>
      </c>
      <c r="E15">
        <v>9.0448406916673496E-2</v>
      </c>
      <c r="F15">
        <v>8.3913187862688296E-2</v>
      </c>
      <c r="G15">
        <v>0</v>
      </c>
      <c r="H15">
        <v>0.95348747510454002</v>
      </c>
      <c r="I15">
        <v>1.04579076495086E-2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0.13710693352494499</v>
      </c>
      <c r="D16">
        <v>0.29019152667452802</v>
      </c>
      <c r="E16">
        <v>9.5563508652908802E-2</v>
      </c>
      <c r="F16">
        <v>8.9371509769150301E-2</v>
      </c>
      <c r="G16">
        <v>0</v>
      </c>
      <c r="H16">
        <v>1.0221033853022901</v>
      </c>
      <c r="I16">
        <v>1.09496406927309E-2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</v>
      </c>
      <c r="D17">
        <v>0.303997298057188</v>
      </c>
      <c r="E17">
        <v>0.100626851323428</v>
      </c>
      <c r="F17">
        <v>9.4880832622919201E-2</v>
      </c>
      <c r="G17">
        <v>0</v>
      </c>
      <c r="H17">
        <v>1.0907867488468199</v>
      </c>
      <c r="I17">
        <v>1.1446473830683901E-2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0.14561582261175399</v>
      </c>
      <c r="D18">
        <v>0.31744785417330201</v>
      </c>
      <c r="E18">
        <v>0.105638434928231</v>
      </c>
      <c r="F18">
        <v>0.100441156423995</v>
      </c>
      <c r="G18">
        <v>0</v>
      </c>
      <c r="H18">
        <v>1.1595383552415901</v>
      </c>
      <c r="I18">
        <v>1.19484070633675E-2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0.149247359615749</v>
      </c>
      <c r="D19">
        <v>0.330556694659079</v>
      </c>
      <c r="E19">
        <v>0.11059825946731799</v>
      </c>
      <c r="F19">
        <v>0.10605248117237701</v>
      </c>
      <c r="G19">
        <v>0</v>
      </c>
      <c r="H19">
        <v>1.2283572718835301</v>
      </c>
      <c r="I19">
        <v>1.2455440390781799E-2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0.15250772267800999</v>
      </c>
      <c r="D20">
        <v>0.34333731818024998</v>
      </c>
      <c r="E20">
        <v>0.11550632494068901</v>
      </c>
      <c r="F20">
        <v>0.11171480686806599</v>
      </c>
      <c r="G20">
        <v>0</v>
      </c>
      <c r="H20">
        <v>1.29724427100256</v>
      </c>
      <c r="I20">
        <v>1.29675738129268E-2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0.155428111556459</v>
      </c>
      <c r="D21">
        <v>0.35580318485308798</v>
      </c>
      <c r="E21">
        <v>0.120362631348344</v>
      </c>
      <c r="F21">
        <v>0.117428133511062</v>
      </c>
      <c r="G21">
        <v>0</v>
      </c>
      <c r="H21">
        <v>1.3661985358453801</v>
      </c>
      <c r="I21">
        <v>1.3484807329802499E-2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0.15757322795574299</v>
      </c>
      <c r="D22">
        <v>0.36741810440610101</v>
      </c>
      <c r="E22">
        <v>0.12516717869028299</v>
      </c>
      <c r="F22">
        <v>0.123192461101365</v>
      </c>
      <c r="G22">
        <v>0</v>
      </c>
      <c r="H22">
        <v>1.4352204684295899</v>
      </c>
      <c r="I22">
        <v>1.4007140941408799E-2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0.15948449821949501</v>
      </c>
      <c r="D23">
        <v>0.37877612706258201</v>
      </c>
      <c r="E23">
        <v>0.12991996696650601</v>
      </c>
      <c r="F23">
        <v>0.129007789638974</v>
      </c>
      <c r="G23">
        <v>0</v>
      </c>
      <c r="H23">
        <v>1.50430981420969</v>
      </c>
      <c r="I23">
        <v>1.45345746477459E-2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0.16118551929411401</v>
      </c>
      <c r="D24">
        <v>0.38989020013452302</v>
      </c>
      <c r="E24">
        <v>0.13462099617701301</v>
      </c>
      <c r="F24">
        <v>0.13487411912389</v>
      </c>
      <c r="G24">
        <v>0</v>
      </c>
      <c r="H24">
        <v>1.57346663414433</v>
      </c>
      <c r="I24">
        <v>1.50671084488136E-2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0.16269837422896399</v>
      </c>
      <c r="D25">
        <v>0.400772956191429</v>
      </c>
      <c r="E25">
        <v>0.139270266321803</v>
      </c>
      <c r="F25">
        <v>0.140791449556113</v>
      </c>
      <c r="G25">
        <v>0</v>
      </c>
      <c r="H25">
        <v>1.6426906603488001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0.16404368740296499</v>
      </c>
      <c r="D26">
        <v>0.41143669784085901</v>
      </c>
      <c r="E26">
        <v>0.143867777400878</v>
      </c>
      <c r="F26">
        <v>0.14675978093564301</v>
      </c>
      <c r="G26">
        <v>0</v>
      </c>
      <c r="H26">
        <v>1.7119816847925899</v>
      </c>
      <c r="I26">
        <v>1.6147476335140999E-2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0.16075839967121799</v>
      </c>
      <c r="D27">
        <v>0.41004224835299502</v>
      </c>
      <c r="E27">
        <v>0.14445168223892299</v>
      </c>
      <c r="F27">
        <v>0.14284739082811701</v>
      </c>
      <c r="G27">
        <v>0</v>
      </c>
      <c r="H27">
        <v>1.7119816847925899</v>
      </c>
      <c r="I27">
        <v>9.5777425597999895E-3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1.9912566412646601E-2</v>
      </c>
      <c r="D3">
        <v>4.8460534563352801E-2</v>
      </c>
      <c r="E3">
        <v>2.2520833333333299E-2</v>
      </c>
      <c r="F3">
        <v>2.0520833333333301E-2</v>
      </c>
      <c r="G3">
        <v>0</v>
      </c>
      <c r="H3">
        <v>0.13539852345039699</v>
      </c>
      <c r="I3">
        <v>4.8208333333333298E-3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3.4261644101246803E-2</v>
      </c>
      <c r="D4">
        <v>7.6428590828980805E-2</v>
      </c>
      <c r="E4">
        <v>2.9041666666666702E-2</v>
      </c>
      <c r="F4">
        <v>2.6041666666666699E-2</v>
      </c>
      <c r="G4">
        <v>0</v>
      </c>
      <c r="H4">
        <v>0.20319958603028701</v>
      </c>
      <c r="I4">
        <v>5.1729166666666703E-3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4.8639414775819997E-2</v>
      </c>
      <c r="D5">
        <v>0.104405777936715</v>
      </c>
      <c r="E5">
        <v>3.5562499999999997E-2</v>
      </c>
      <c r="F5">
        <v>3.15625E-2</v>
      </c>
      <c r="G5">
        <v>0</v>
      </c>
      <c r="H5">
        <v>0.27106781689211501</v>
      </c>
      <c r="I5">
        <v>5.5250000000000004E-3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0.13273300310045699</v>
      </c>
      <c r="E6">
        <v>4.2083333333333299E-2</v>
      </c>
      <c r="F6">
        <v>3.7083333333333302E-2</v>
      </c>
      <c r="G6">
        <v>0</v>
      </c>
      <c r="H6">
        <v>0.33900402892857001</v>
      </c>
      <c r="I6">
        <v>5.8770833333333401E-3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7.3790870975046996E-2</v>
      </c>
      <c r="D7">
        <v>0.15027472667841599</v>
      </c>
      <c r="E7">
        <v>4.7664266661013199E-2</v>
      </c>
      <c r="F7">
        <v>4.2082646714034597E-2</v>
      </c>
      <c r="G7">
        <v>0</v>
      </c>
      <c r="H7">
        <v>0.40700858300437598</v>
      </c>
      <c r="I7">
        <v>6.7076467140346598E-3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8.3292130686310806E-2</v>
      </c>
      <c r="D8">
        <v>0.16733787297611899</v>
      </c>
      <c r="E8">
        <v>5.3193440922977002E-2</v>
      </c>
      <c r="F8">
        <v>4.7132961042042697E-2</v>
      </c>
      <c r="G8">
        <v>0</v>
      </c>
      <c r="H8">
        <v>0.475080097150964</v>
      </c>
      <c r="I8">
        <v>7.1585789994115297E-3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9.2020146240669606E-2</v>
      </c>
      <c r="D9">
        <v>0.18393577187875601</v>
      </c>
      <c r="E9">
        <v>5.86708561192247E-2</v>
      </c>
      <c r="F9">
        <v>5.2234276317357498E-2</v>
      </c>
      <c r="G9">
        <v>0</v>
      </c>
      <c r="H9">
        <v>0.54322040082674306</v>
      </c>
      <c r="I9">
        <v>7.6146113795190996E-3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0.10002130971421801</v>
      </c>
      <c r="D10">
        <v>0.20008210609707899</v>
      </c>
      <c r="E10">
        <v>6.4096512249756293E-2</v>
      </c>
      <c r="F10">
        <v>5.7386592539979103E-2</v>
      </c>
      <c r="G10">
        <v>0</v>
      </c>
      <c r="H10">
        <v>0.61142831892488603</v>
      </c>
      <c r="I10">
        <v>8.0757438543573295E-3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0.10734106388150901</v>
      </c>
      <c r="D11">
        <v>0.21579084785792699</v>
      </c>
      <c r="E11">
        <v>6.9470409314571893E-2</v>
      </c>
      <c r="F11">
        <v>6.2589909709907396E-2</v>
      </c>
      <c r="G11">
        <v>0</v>
      </c>
      <c r="H11">
        <v>0.679704227596719</v>
      </c>
      <c r="I11">
        <v>8.5419764239262393E-3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0.114463478763563</v>
      </c>
      <c r="D12">
        <v>0.23148673594202801</v>
      </c>
      <c r="E12">
        <v>7.4792547313671395E-2</v>
      </c>
      <c r="F12">
        <v>6.78442278271425E-2</v>
      </c>
      <c r="G12">
        <v>0</v>
      </c>
      <c r="H12">
        <v>0.74804815942090097</v>
      </c>
      <c r="I12">
        <v>9.0133090882258404E-3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</v>
      </c>
      <c r="D13">
        <v>0.24676132524184599</v>
      </c>
      <c r="E13">
        <v>8.00629262470548E-2</v>
      </c>
      <c r="F13">
        <v>7.3149546891684306E-2</v>
      </c>
      <c r="G13">
        <v>0</v>
      </c>
      <c r="H13">
        <v>0.81646023079441599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0.12687411724945899</v>
      </c>
      <c r="D14">
        <v>0.26162794764515801</v>
      </c>
      <c r="E14">
        <v>8.5281546114722204E-2</v>
      </c>
      <c r="F14">
        <v>7.8505866903532895E-2</v>
      </c>
      <c r="G14">
        <v>0</v>
      </c>
      <c r="H14">
        <v>0.88493999307285998</v>
      </c>
      <c r="I14">
        <v>9.9712747010170504E-3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</v>
      </c>
      <c r="D15">
        <v>0.27610012606491202</v>
      </c>
      <c r="E15">
        <v>9.0448406916673496E-2</v>
      </c>
      <c r="F15">
        <v>8.3913187862688296E-2</v>
      </c>
      <c r="G15">
        <v>0</v>
      </c>
      <c r="H15">
        <v>0.95348747510454002</v>
      </c>
      <c r="I15">
        <v>1.04579076495086E-2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0.13710693352494499</v>
      </c>
      <c r="D16">
        <v>0.29019152667452802</v>
      </c>
      <c r="E16">
        <v>9.5563508652908802E-2</v>
      </c>
      <c r="F16">
        <v>8.9371509769150301E-2</v>
      </c>
      <c r="G16">
        <v>0</v>
      </c>
      <c r="H16">
        <v>1.0221033853022901</v>
      </c>
      <c r="I16">
        <v>1.09496406927309E-2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</v>
      </c>
      <c r="D17">
        <v>0.303997298057188</v>
      </c>
      <c r="E17">
        <v>0.100626851323428</v>
      </c>
      <c r="F17">
        <v>9.4880832622919201E-2</v>
      </c>
      <c r="G17">
        <v>0</v>
      </c>
      <c r="H17">
        <v>1.0907867488468199</v>
      </c>
      <c r="I17">
        <v>1.1446473830683901E-2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0.14561582261175399</v>
      </c>
      <c r="D18">
        <v>0.31744785417330201</v>
      </c>
      <c r="E18">
        <v>0.105638434928231</v>
      </c>
      <c r="F18">
        <v>0.100441156423995</v>
      </c>
      <c r="G18">
        <v>0</v>
      </c>
      <c r="H18">
        <v>1.1595383552415901</v>
      </c>
      <c r="I18">
        <v>1.19484070633675E-2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0.149247359615749</v>
      </c>
      <c r="D19">
        <v>0.330556694659079</v>
      </c>
      <c r="E19">
        <v>0.11059825946731799</v>
      </c>
      <c r="F19">
        <v>0.10605248117237701</v>
      </c>
      <c r="G19">
        <v>0</v>
      </c>
      <c r="H19">
        <v>1.2283572718835301</v>
      </c>
      <c r="I19">
        <v>1.2455440390781799E-2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0.15250772267800999</v>
      </c>
      <c r="D20">
        <v>0.34333731818024998</v>
      </c>
      <c r="E20">
        <v>0.11550632494068901</v>
      </c>
      <c r="F20">
        <v>0.11171480686806599</v>
      </c>
      <c r="G20">
        <v>0</v>
      </c>
      <c r="H20">
        <v>1.29724427100256</v>
      </c>
      <c r="I20">
        <v>1.29675738129268E-2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0.155428111556459</v>
      </c>
      <c r="D21">
        <v>0.35580318485308798</v>
      </c>
      <c r="E21">
        <v>0.120362631348344</v>
      </c>
      <c r="F21">
        <v>0.117428133511062</v>
      </c>
      <c r="G21">
        <v>0</v>
      </c>
      <c r="H21">
        <v>1.3661985358453801</v>
      </c>
      <c r="I21">
        <v>1.3484807329802499E-2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0.15757322795574299</v>
      </c>
      <c r="D22">
        <v>0.36741810440610101</v>
      </c>
      <c r="E22">
        <v>0.12516717869028299</v>
      </c>
      <c r="F22">
        <v>0.123192461101365</v>
      </c>
      <c r="G22">
        <v>0</v>
      </c>
      <c r="H22">
        <v>1.4352204684295899</v>
      </c>
      <c r="I22">
        <v>1.4007140941408799E-2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0.15948449821949501</v>
      </c>
      <c r="D23">
        <v>0.37877612706258201</v>
      </c>
      <c r="E23">
        <v>0.12991996696650601</v>
      </c>
      <c r="F23">
        <v>0.129007789638974</v>
      </c>
      <c r="G23">
        <v>0</v>
      </c>
      <c r="H23">
        <v>1.50430981420969</v>
      </c>
      <c r="I23">
        <v>1.45345746477459E-2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0.16118551929411401</v>
      </c>
      <c r="D24">
        <v>0.38989020013452302</v>
      </c>
      <c r="E24">
        <v>0.13462099617701301</v>
      </c>
      <c r="F24">
        <v>0.13487411912389</v>
      </c>
      <c r="G24">
        <v>0</v>
      </c>
      <c r="H24">
        <v>1.57346663414433</v>
      </c>
      <c r="I24">
        <v>1.50671084488136E-2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0.16269837422896399</v>
      </c>
      <c r="D25">
        <v>0.400772956191429</v>
      </c>
      <c r="E25">
        <v>0.139270266321803</v>
      </c>
      <c r="F25">
        <v>0.140791449556113</v>
      </c>
      <c r="G25">
        <v>0</v>
      </c>
      <c r="H25">
        <v>1.6426906603488001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0.16404368740296499</v>
      </c>
      <c r="D26">
        <v>0.41143669784085901</v>
      </c>
      <c r="E26">
        <v>0.143867777400878</v>
      </c>
      <c r="F26">
        <v>0.14675978093564301</v>
      </c>
      <c r="G26">
        <v>0</v>
      </c>
      <c r="H26">
        <v>1.7119816847925899</v>
      </c>
      <c r="I26">
        <v>1.6147476335140999E-2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0.16075839967121799</v>
      </c>
      <c r="D27">
        <v>0.41004224835299502</v>
      </c>
      <c r="E27">
        <v>0.14445168223892299</v>
      </c>
      <c r="F27">
        <v>0.14284739082811701</v>
      </c>
      <c r="G27">
        <v>0</v>
      </c>
      <c r="H27">
        <v>1.7119816847925899</v>
      </c>
      <c r="I27">
        <v>9.5777425597999895E-3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3" width="14.7109375" customWidth="1"/>
    <col min="4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9.0080213975388696E-3</v>
      </c>
      <c r="D2">
        <v>2.30045090202987E-2</v>
      </c>
      <c r="E2">
        <v>1.8515970676033999E-2</v>
      </c>
      <c r="F2">
        <v>1.5531149364940501E-2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2.1387621460069499E-2</v>
      </c>
      <c r="D3">
        <v>4.8623320242517899E-2</v>
      </c>
      <c r="E3">
        <v>2.4594099255918801E-2</v>
      </c>
      <c r="F3">
        <v>1.96585398116703E-2</v>
      </c>
      <c r="G3">
        <v>0</v>
      </c>
      <c r="H3">
        <v>0.13539852345039699</v>
      </c>
      <c r="I3">
        <v>3.1663721700717698E-3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3.8303125166815902E-2</v>
      </c>
      <c r="D4">
        <v>7.8024814128794598E-2</v>
      </c>
      <c r="E4">
        <v>3.2391945948864603E-2</v>
      </c>
      <c r="F4">
        <v>2.5608608889833899E-2</v>
      </c>
      <c r="G4">
        <v>0</v>
      </c>
      <c r="H4">
        <v>0.20319958603028701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7.3301805870743295E-2</v>
      </c>
      <c r="D5">
        <v>0.122774232212992</v>
      </c>
      <c r="E5">
        <v>4.7801405992473497E-2</v>
      </c>
      <c r="F5">
        <v>3.9262333780146097E-2</v>
      </c>
      <c r="G5">
        <v>0</v>
      </c>
      <c r="H5">
        <v>0.27106781689211501</v>
      </c>
      <c r="I5">
        <v>1.32928768636114E-2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0.134217331314332</v>
      </c>
      <c r="D6">
        <v>0.18932972463339701</v>
      </c>
      <c r="E6">
        <v>7.41526193512871E-2</v>
      </c>
      <c r="F6">
        <v>6.4132261835825696E-2</v>
      </c>
      <c r="G6">
        <v>0</v>
      </c>
      <c r="H6">
        <v>0.33900402892857001</v>
      </c>
      <c r="I6">
        <v>2.57265046935394E-2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0.141544895749461</v>
      </c>
      <c r="D7">
        <v>0.20499680506158199</v>
      </c>
      <c r="E7">
        <v>8.0152427251288405E-2</v>
      </c>
      <c r="F7">
        <v>7.0184434872777396E-2</v>
      </c>
      <c r="G7">
        <v>0</v>
      </c>
      <c r="H7">
        <v>0.40700858300437598</v>
      </c>
      <c r="I7">
        <v>1.0399210423646501E-2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0.14832610880437799</v>
      </c>
      <c r="D8">
        <v>0.220342934915084</v>
      </c>
      <c r="E8">
        <v>8.61173441278658E-2</v>
      </c>
      <c r="F8">
        <v>7.6306800345607204E-2</v>
      </c>
      <c r="G8">
        <v>0</v>
      </c>
      <c r="H8">
        <v>0.475080097150964</v>
      </c>
      <c r="I8">
        <v>1.0975493606026799E-2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0.15456053213207299</v>
      </c>
      <c r="D9">
        <v>0.23534945788112399</v>
      </c>
      <c r="E9">
        <v>9.20443987663154E-2</v>
      </c>
      <c r="F9">
        <v>8.2498704577384604E-2</v>
      </c>
      <c r="G9">
        <v>0</v>
      </c>
      <c r="H9">
        <v>0.54322040082674306</v>
      </c>
      <c r="I9">
        <v>1.15581509372509E-2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0.16026162556328499</v>
      </c>
      <c r="D10">
        <v>0.25000830774657601</v>
      </c>
      <c r="E10">
        <v>9.7930916879089502E-2</v>
      </c>
      <c r="F10">
        <v>8.8759559453186795E-2</v>
      </c>
      <c r="G10">
        <v>0</v>
      </c>
      <c r="H10">
        <v>0.61142831892488603</v>
      </c>
      <c r="I10">
        <v>1.21471824173198E-2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0.16545103821245899</v>
      </c>
      <c r="D11">
        <v>0.26431816686148302</v>
      </c>
      <c r="E11">
        <v>0.10377449141890401</v>
      </c>
      <c r="F11">
        <v>9.5088835858073706E-2</v>
      </c>
      <c r="G11">
        <v>0</v>
      </c>
      <c r="H11">
        <v>0.679704227596719</v>
      </c>
      <c r="I11">
        <v>1.27425880462323E-2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0.18008578925028701</v>
      </c>
      <c r="D12">
        <v>0.28762500332216701</v>
      </c>
      <c r="E12">
        <v>0.11461177485004199</v>
      </c>
      <c r="F12">
        <v>0.10695204973815001</v>
      </c>
      <c r="G12">
        <v>0</v>
      </c>
      <c r="H12">
        <v>0.74804815942090097</v>
      </c>
      <c r="I12">
        <v>1.8810359790653E-2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0.19345579207098601</v>
      </c>
      <c r="D13">
        <v>0.31016891157030302</v>
      </c>
      <c r="E13">
        <v>0.12533027738702099</v>
      </c>
      <c r="F13">
        <v>0.118953451132674</v>
      </c>
      <c r="G13">
        <v>0</v>
      </c>
      <c r="H13">
        <v>0.81646023079441599</v>
      </c>
      <c r="I13">
        <v>2.0035783160861201E-2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0.20561506143077701</v>
      </c>
      <c r="D14">
        <v>0.331955196810515</v>
      </c>
      <c r="E14">
        <v>0.13592824381221</v>
      </c>
      <c r="F14">
        <v>0.13109265479701901</v>
      </c>
      <c r="G14">
        <v>0</v>
      </c>
      <c r="H14">
        <v>0.88493999307285998</v>
      </c>
      <c r="I14">
        <v>2.1274647704607599E-2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0.21662137539465501</v>
      </c>
      <c r="D15">
        <v>0.35299233863963903</v>
      </c>
      <c r="E15">
        <v>0.146404094262467</v>
      </c>
      <c r="F15">
        <v>0.14336931417829099</v>
      </c>
      <c r="G15">
        <v>0</v>
      </c>
      <c r="H15">
        <v>0.95348747510454002</v>
      </c>
      <c r="I15">
        <v>2.2526953421891999E-2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0.226535037304405</v>
      </c>
      <c r="D16">
        <v>0.37329147820618103</v>
      </c>
      <c r="E16">
        <v>0.15672269594976301</v>
      </c>
      <c r="F16">
        <v>0.155775326612728</v>
      </c>
      <c r="G16">
        <v>0</v>
      </c>
      <c r="H16">
        <v>1.0221033853022901</v>
      </c>
      <c r="I16">
        <v>2.3792700312714899E-2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0.23650965418785799</v>
      </c>
      <c r="D17">
        <v>0.39422812896417397</v>
      </c>
      <c r="E17">
        <v>0.167706621535887</v>
      </c>
      <c r="F17">
        <v>0.16943010194371599</v>
      </c>
      <c r="G17">
        <v>0</v>
      </c>
      <c r="H17">
        <v>1.0907867488468199</v>
      </c>
      <c r="I17">
        <v>2.6232307992260701E-2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0.24540771928337099</v>
      </c>
      <c r="D18">
        <v>0.41439985305837101</v>
      </c>
      <c r="E18">
        <v>0.178578920529436</v>
      </c>
      <c r="F18">
        <v>0.18324260434025999</v>
      </c>
      <c r="G18">
        <v>0</v>
      </c>
      <c r="H18">
        <v>1.1595383552415901</v>
      </c>
      <c r="I18">
        <v>2.76555125909154E-2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0.25329181386142402</v>
      </c>
      <c r="D19">
        <v>0.43381986478942097</v>
      </c>
      <c r="E19">
        <v>0.18933563967238101</v>
      </c>
      <c r="F19">
        <v>0.19721195560926599</v>
      </c>
      <c r="G19">
        <v>0</v>
      </c>
      <c r="H19">
        <v>1.2283572718835301</v>
      </c>
      <c r="I19">
        <v>2.9093611703031898E-2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0.26022513885787801</v>
      </c>
      <c r="D20">
        <v>0.45250352323726001</v>
      </c>
      <c r="E20">
        <v>0.19997322103249501</v>
      </c>
      <c r="F20">
        <v>0.21133736537695</v>
      </c>
      <c r="G20">
        <v>0</v>
      </c>
      <c r="H20">
        <v>1.29724427100256</v>
      </c>
      <c r="I20">
        <v>3.0546605328610602E-2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0.26627080314301399</v>
      </c>
      <c r="D21">
        <v>0.47046805585406098</v>
      </c>
      <c r="E21">
        <v>0.21048846247077199</v>
      </c>
      <c r="F21">
        <v>0.225618122306906</v>
      </c>
      <c r="G21">
        <v>0</v>
      </c>
      <c r="H21">
        <v>1.3661985358453801</v>
      </c>
      <c r="I21">
        <v>3.2014493467651103E-2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0.26162229614062898</v>
      </c>
      <c r="D22">
        <v>0.47637818294754197</v>
      </c>
      <c r="E22">
        <v>0.21384460296447</v>
      </c>
      <c r="F22">
        <v>0.231307715716666</v>
      </c>
      <c r="G22">
        <v>0</v>
      </c>
      <c r="H22">
        <v>1.4352204684295899</v>
      </c>
      <c r="I22">
        <v>2.4751405640450998E-2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0.25718917840216998</v>
      </c>
      <c r="D23">
        <v>0.48228442233190999</v>
      </c>
      <c r="E23">
        <v>0.21718071673521699</v>
      </c>
      <c r="F23">
        <v>0.23704522983727</v>
      </c>
      <c r="G23">
        <v>0</v>
      </c>
      <c r="H23">
        <v>1.50430981420969</v>
      </c>
      <c r="I23">
        <v>2.5268285692270499E-2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0.25296777374456503</v>
      </c>
      <c r="D24">
        <v>0.48819110476487998</v>
      </c>
      <c r="E24">
        <v>0.22049446942367901</v>
      </c>
      <c r="F24">
        <v>0.24283014610447801</v>
      </c>
      <c r="G24">
        <v>0</v>
      </c>
      <c r="H24">
        <v>1.57346663414433</v>
      </c>
      <c r="I24">
        <v>2.57894392509345E-2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0.24895435640098501</v>
      </c>
      <c r="D25">
        <v>0.49410241832084001</v>
      </c>
      <c r="E25">
        <v>0.22378376010645501</v>
      </c>
      <c r="F25">
        <v>0.24866199781047199</v>
      </c>
      <c r="G25">
        <v>0</v>
      </c>
      <c r="H25">
        <v>1.6426906603488001</v>
      </c>
      <c r="I25">
        <v>2.63148663164425E-2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0.24514514323676201</v>
      </c>
      <c r="D26">
        <v>0.50002238454214998</v>
      </c>
      <c r="E26">
        <v>0.227046697952483</v>
      </c>
      <c r="F26">
        <v>0.25454036491822002</v>
      </c>
      <c r="G26">
        <v>0</v>
      </c>
      <c r="H26">
        <v>1.7119816847925899</v>
      </c>
      <c r="I26">
        <v>2.68445668887951E-2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0.241141038280306</v>
      </c>
      <c r="D27">
        <v>0.50102574956169998</v>
      </c>
      <c r="E27">
        <v>0.22890885636815</v>
      </c>
      <c r="F27">
        <v>0.25550974421841999</v>
      </c>
      <c r="G27">
        <v>0</v>
      </c>
      <c r="H27">
        <v>1.7119816847925899</v>
      </c>
      <c r="I27">
        <v>2.2423415792021801E-2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3" width="14.7109375" customWidth="1"/>
    <col min="4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9.0080213975388696E-3</v>
      </c>
      <c r="D2">
        <v>2.30045090202987E-2</v>
      </c>
      <c r="E2">
        <v>1.8515970676033999E-2</v>
      </c>
      <c r="F2">
        <v>1.5531149364940501E-2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2.1387621460069499E-2</v>
      </c>
      <c r="D3">
        <v>4.8623320242517899E-2</v>
      </c>
      <c r="E3">
        <v>2.4594099255918801E-2</v>
      </c>
      <c r="F3">
        <v>1.96585398116703E-2</v>
      </c>
      <c r="G3">
        <v>0</v>
      </c>
      <c r="H3">
        <v>0.13539852345039699</v>
      </c>
      <c r="I3">
        <v>3.1663721700717698E-3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3.8303125166815902E-2</v>
      </c>
      <c r="D4">
        <v>7.8024814128794598E-2</v>
      </c>
      <c r="E4">
        <v>3.2391945948864603E-2</v>
      </c>
      <c r="F4">
        <v>2.5608608889833899E-2</v>
      </c>
      <c r="G4">
        <v>0</v>
      </c>
      <c r="H4">
        <v>0.20319958603028701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7.3301805870743295E-2</v>
      </c>
      <c r="D5">
        <v>0.122774232212992</v>
      </c>
      <c r="E5">
        <v>4.7801405992473497E-2</v>
      </c>
      <c r="F5">
        <v>3.9262333780146097E-2</v>
      </c>
      <c r="G5">
        <v>0</v>
      </c>
      <c r="H5">
        <v>0.27106781689211501</v>
      </c>
      <c r="I5">
        <v>1.32928768636114E-2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0.134217331314332</v>
      </c>
      <c r="D6">
        <v>0.18932972463339701</v>
      </c>
      <c r="E6">
        <v>7.41526193512871E-2</v>
      </c>
      <c r="F6">
        <v>6.4132261835825696E-2</v>
      </c>
      <c r="G6">
        <v>0</v>
      </c>
      <c r="H6">
        <v>0.33900402892857001</v>
      </c>
      <c r="I6">
        <v>2.57265046935394E-2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0.141544895749461</v>
      </c>
      <c r="D7">
        <v>0.20499680506158199</v>
      </c>
      <c r="E7">
        <v>8.0152427251288405E-2</v>
      </c>
      <c r="F7">
        <v>7.0184434872777396E-2</v>
      </c>
      <c r="G7">
        <v>0</v>
      </c>
      <c r="H7">
        <v>0.40700858300437598</v>
      </c>
      <c r="I7">
        <v>1.0399210423646501E-2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0.14832610880437799</v>
      </c>
      <c r="D8">
        <v>0.220342934915084</v>
      </c>
      <c r="E8">
        <v>8.61173441278658E-2</v>
      </c>
      <c r="F8">
        <v>7.6306800345607204E-2</v>
      </c>
      <c r="G8">
        <v>0</v>
      </c>
      <c r="H8">
        <v>0.475080097150964</v>
      </c>
      <c r="I8">
        <v>1.0975493606026799E-2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0.15456053213207299</v>
      </c>
      <c r="D9">
        <v>0.23534945788112399</v>
      </c>
      <c r="E9">
        <v>9.20443987663154E-2</v>
      </c>
      <c r="F9">
        <v>8.2498704577384604E-2</v>
      </c>
      <c r="G9">
        <v>0</v>
      </c>
      <c r="H9">
        <v>0.54322040082674306</v>
      </c>
      <c r="I9">
        <v>1.15581509372509E-2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0.16026162556328499</v>
      </c>
      <c r="D10">
        <v>0.25000830774657601</v>
      </c>
      <c r="E10">
        <v>9.7930916879089502E-2</v>
      </c>
      <c r="F10">
        <v>8.8759559453186795E-2</v>
      </c>
      <c r="G10">
        <v>0</v>
      </c>
      <c r="H10">
        <v>0.61142831892488603</v>
      </c>
      <c r="I10">
        <v>1.21471824173198E-2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0.16545103821245899</v>
      </c>
      <c r="D11">
        <v>0.26431816686148302</v>
      </c>
      <c r="E11">
        <v>0.10377449141890401</v>
      </c>
      <c r="F11">
        <v>9.5088835858073706E-2</v>
      </c>
      <c r="G11">
        <v>0</v>
      </c>
      <c r="H11">
        <v>0.679704227596719</v>
      </c>
      <c r="I11">
        <v>1.27425880462323E-2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0.18008578925028701</v>
      </c>
      <c r="D12">
        <v>0.28762500332216701</v>
      </c>
      <c r="E12">
        <v>0.11461177485004199</v>
      </c>
      <c r="F12">
        <v>0.10695204973815001</v>
      </c>
      <c r="G12">
        <v>0</v>
      </c>
      <c r="H12">
        <v>0.74804815942090097</v>
      </c>
      <c r="I12">
        <v>1.8810359790653E-2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0.19345579207098601</v>
      </c>
      <c r="D13">
        <v>0.31016891157030302</v>
      </c>
      <c r="E13">
        <v>0.12533027738702099</v>
      </c>
      <c r="F13">
        <v>0.118953451132674</v>
      </c>
      <c r="G13">
        <v>0</v>
      </c>
      <c r="H13">
        <v>0.81646023079441599</v>
      </c>
      <c r="I13">
        <v>2.0035783160861201E-2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0.20561506143077701</v>
      </c>
      <c r="D14">
        <v>0.331955196810515</v>
      </c>
      <c r="E14">
        <v>0.13592824381221</v>
      </c>
      <c r="F14">
        <v>0.13109265479701901</v>
      </c>
      <c r="G14">
        <v>0</v>
      </c>
      <c r="H14">
        <v>0.88493999307285998</v>
      </c>
      <c r="I14">
        <v>2.1274647704607599E-2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0.21662137539465501</v>
      </c>
      <c r="D15">
        <v>0.35299233863963903</v>
      </c>
      <c r="E15">
        <v>0.146404094262467</v>
      </c>
      <c r="F15">
        <v>0.14336931417829099</v>
      </c>
      <c r="G15">
        <v>0</v>
      </c>
      <c r="H15">
        <v>0.95348747510454002</v>
      </c>
      <c r="I15">
        <v>2.2526953421891999E-2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0.226535037304405</v>
      </c>
      <c r="D16">
        <v>0.37329147820618103</v>
      </c>
      <c r="E16">
        <v>0.15672269594976301</v>
      </c>
      <c r="F16">
        <v>0.155775326612728</v>
      </c>
      <c r="G16">
        <v>0</v>
      </c>
      <c r="H16">
        <v>1.0221033853022901</v>
      </c>
      <c r="I16">
        <v>2.3792700312714899E-2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0.23650965418785799</v>
      </c>
      <c r="D17">
        <v>0.39422812896417397</v>
      </c>
      <c r="E17">
        <v>0.167706621535887</v>
      </c>
      <c r="F17">
        <v>0.16943010194371599</v>
      </c>
      <c r="G17">
        <v>0</v>
      </c>
      <c r="H17">
        <v>1.0907867488468199</v>
      </c>
      <c r="I17">
        <v>2.6232307992260701E-2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0.24540771928337099</v>
      </c>
      <c r="D18">
        <v>0.41439985305837101</v>
      </c>
      <c r="E18">
        <v>0.178578920529436</v>
      </c>
      <c r="F18">
        <v>0.18324260434025999</v>
      </c>
      <c r="G18">
        <v>0</v>
      </c>
      <c r="H18">
        <v>1.1595383552415901</v>
      </c>
      <c r="I18">
        <v>2.76555125909154E-2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0.25329181386142402</v>
      </c>
      <c r="D19">
        <v>0.43381986478942097</v>
      </c>
      <c r="E19">
        <v>0.18933563967238101</v>
      </c>
      <c r="F19">
        <v>0.19721195560926599</v>
      </c>
      <c r="G19">
        <v>0</v>
      </c>
      <c r="H19">
        <v>1.2283572718835301</v>
      </c>
      <c r="I19">
        <v>2.9093611703031898E-2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0.26022513885787801</v>
      </c>
      <c r="D20">
        <v>0.45250352323726001</v>
      </c>
      <c r="E20">
        <v>0.19997322103249501</v>
      </c>
      <c r="F20">
        <v>0.21133736537695</v>
      </c>
      <c r="G20">
        <v>0</v>
      </c>
      <c r="H20">
        <v>1.29724427100256</v>
      </c>
      <c r="I20">
        <v>3.0546605328610602E-2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0.26627080314301399</v>
      </c>
      <c r="D21">
        <v>0.47046805585406098</v>
      </c>
      <c r="E21">
        <v>0.21048846247077199</v>
      </c>
      <c r="F21">
        <v>0.225618122306906</v>
      </c>
      <c r="G21">
        <v>0</v>
      </c>
      <c r="H21">
        <v>1.3661985358453801</v>
      </c>
      <c r="I21">
        <v>3.2014493467651103E-2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0.26162229614062898</v>
      </c>
      <c r="D22">
        <v>0.47637818294754197</v>
      </c>
      <c r="E22">
        <v>0.21384460296447</v>
      </c>
      <c r="F22">
        <v>0.231307715716666</v>
      </c>
      <c r="G22">
        <v>0</v>
      </c>
      <c r="H22">
        <v>1.4352204684295899</v>
      </c>
      <c r="I22">
        <v>2.4751405640450998E-2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0.25718917840216998</v>
      </c>
      <c r="D23">
        <v>0.48228442233190999</v>
      </c>
      <c r="E23">
        <v>0.21718071673521699</v>
      </c>
      <c r="F23">
        <v>0.23704522983727</v>
      </c>
      <c r="G23">
        <v>0</v>
      </c>
      <c r="H23">
        <v>1.50430981420969</v>
      </c>
      <c r="I23">
        <v>2.5268285692270499E-2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0.25296777374456503</v>
      </c>
      <c r="D24">
        <v>0.48819110476487998</v>
      </c>
      <c r="E24">
        <v>0.22049446942367901</v>
      </c>
      <c r="F24">
        <v>0.24283014610447801</v>
      </c>
      <c r="G24">
        <v>0</v>
      </c>
      <c r="H24">
        <v>1.57346663414433</v>
      </c>
      <c r="I24">
        <v>2.57894392509345E-2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0.24895435640098501</v>
      </c>
      <c r="D25">
        <v>0.49410241832084001</v>
      </c>
      <c r="E25">
        <v>0.22378376010645501</v>
      </c>
      <c r="F25">
        <v>0.24866199781047199</v>
      </c>
      <c r="G25">
        <v>0</v>
      </c>
      <c r="H25">
        <v>1.6426906603488001</v>
      </c>
      <c r="I25">
        <v>2.63148663164425E-2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0.24514514323676201</v>
      </c>
      <c r="D26">
        <v>0.50002238454214998</v>
      </c>
      <c r="E26">
        <v>0.227046697952483</v>
      </c>
      <c r="F26">
        <v>0.25454036491822002</v>
      </c>
      <c r="G26">
        <v>0</v>
      </c>
      <c r="H26">
        <v>1.7119816847925899</v>
      </c>
      <c r="I26">
        <v>2.68445668887951E-2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0.241141038280306</v>
      </c>
      <c r="D27">
        <v>0.50102574956169998</v>
      </c>
      <c r="E27">
        <v>0.22890885636815</v>
      </c>
      <c r="F27">
        <v>0.25550974421841999</v>
      </c>
      <c r="G27">
        <v>0</v>
      </c>
      <c r="H27">
        <v>1.7119816847925899</v>
      </c>
      <c r="I27">
        <v>2.2423415792021801E-2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9.855468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2.2146158834970599E-2</v>
      </c>
      <c r="D2">
        <v>3.0403933715392899E-2</v>
      </c>
      <c r="E2">
        <v>1.6418604651162801E-2</v>
      </c>
      <c r="F2">
        <v>1.50883720930233E-2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3.9023528704774997E-2</v>
      </c>
      <c r="D3">
        <v>5.6813748692027703E-2</v>
      </c>
      <c r="E3">
        <v>2.16791628677462E-2</v>
      </c>
      <c r="F3">
        <v>1.9039511704955499E-2</v>
      </c>
      <c r="G3">
        <v>0</v>
      </c>
      <c r="H3">
        <v>0.13539852345039699</v>
      </c>
      <c r="I3">
        <v>1.2999999999999999E-3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5.6209465511939602E-2</v>
      </c>
      <c r="D4">
        <v>8.3406894018566102E-2</v>
      </c>
      <c r="E4">
        <v>2.8762581446714501E-2</v>
      </c>
      <c r="F4">
        <v>2.4832244237412201E-2</v>
      </c>
      <c r="G4">
        <v>0</v>
      </c>
      <c r="H4">
        <v>0.20319958603028701</v>
      </c>
      <c r="I4">
        <v>1.2999999999999999E-3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7.4270904992486397E-2</v>
      </c>
      <c r="D5">
        <v>0.11065871980559699</v>
      </c>
      <c r="E5">
        <v>4.35501303982124E-2</v>
      </c>
      <c r="F5">
        <v>3.8345966444724197E-2</v>
      </c>
      <c r="G5">
        <v>0</v>
      </c>
      <c r="H5">
        <v>0.27106781689211501</v>
      </c>
      <c r="I5">
        <v>1.2999999999999999E-3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9.3605830805780693E-2</v>
      </c>
      <c r="D6">
        <v>0.13888394466970799</v>
      </c>
      <c r="E6">
        <v>6.9609994144954002E-2</v>
      </c>
      <c r="F6">
        <v>6.3147176819372597E-2</v>
      </c>
      <c r="G6">
        <v>0</v>
      </c>
      <c r="H6">
        <v>0.33900402892857001</v>
      </c>
      <c r="I6">
        <v>1.2999999999999999E-3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9.8280525065093702E-2</v>
      </c>
      <c r="D7">
        <v>0.149935884160383</v>
      </c>
      <c r="E7">
        <v>7.6261210703509705E-2</v>
      </c>
      <c r="F7">
        <v>6.9342134677360903E-2</v>
      </c>
      <c r="G7">
        <v>0</v>
      </c>
      <c r="H7">
        <v>0.40700858300437598</v>
      </c>
      <c r="I7">
        <v>1.2999999999999999E-3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0.102926378279642</v>
      </c>
      <c r="D8">
        <v>0.160970693163067</v>
      </c>
      <c r="E8">
        <v>8.2820761188340905E-2</v>
      </c>
      <c r="F8">
        <v>7.5595042722628306E-2</v>
      </c>
      <c r="G8">
        <v>0</v>
      </c>
      <c r="H8">
        <v>0.475080097150964</v>
      </c>
      <c r="I8">
        <v>1.2999999999999999E-3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0.107545088788937</v>
      </c>
      <c r="D9">
        <v>0.171988679830823</v>
      </c>
      <c r="E9">
        <v>8.9291343307587603E-2</v>
      </c>
      <c r="F9">
        <v>8.1906480085290806E-2</v>
      </c>
      <c r="G9">
        <v>0</v>
      </c>
      <c r="H9">
        <v>0.54322040082674306</v>
      </c>
      <c r="I9">
        <v>1.2999999999999999E-3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0.112138387129757</v>
      </c>
      <c r="D10">
        <v>0.18299019510468401</v>
      </c>
      <c r="E10">
        <v>9.56753849985746E-2</v>
      </c>
      <c r="F10">
        <v>8.82769679824537E-2</v>
      </c>
      <c r="G10">
        <v>0</v>
      </c>
      <c r="H10">
        <v>0.61142831892488603</v>
      </c>
      <c r="I10">
        <v>1.2999999999999999E-3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0.116708015910912</v>
      </c>
      <c r="D11">
        <v>0.19397562843824601</v>
      </c>
      <c r="E11">
        <v>0.10197507140489601</v>
      </c>
      <c r="F11">
        <v>9.4706975509510405E-2</v>
      </c>
      <c r="G11">
        <v>0</v>
      </c>
      <c r="H11">
        <v>0.679704227596719</v>
      </c>
      <c r="I11">
        <v>1.2999999999999999E-3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0.12169548090426199</v>
      </c>
      <c r="D12">
        <v>0.20535594197007201</v>
      </c>
      <c r="E12">
        <v>0.11323118814550701</v>
      </c>
      <c r="F12">
        <v>0.10666291681898001</v>
      </c>
      <c r="G12">
        <v>0</v>
      </c>
      <c r="H12">
        <v>0.74804815942090097</v>
      </c>
      <c r="I12">
        <v>1.29999999999999E-3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0.1266317624695</v>
      </c>
      <c r="D13">
        <v>0.21670877499760699</v>
      </c>
      <c r="E13">
        <v>0.12433496545162399</v>
      </c>
      <c r="F13">
        <v>0.118749850158408</v>
      </c>
      <c r="G13">
        <v>0</v>
      </c>
      <c r="H13">
        <v>0.81646023079441599</v>
      </c>
      <c r="I13">
        <v>1.29999999999997E-3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0.13151802028130599</v>
      </c>
      <c r="D14">
        <v>0.228033457286452</v>
      </c>
      <c r="E14">
        <v>0.13528799629292401</v>
      </c>
      <c r="F14">
        <v>0.130968117498338</v>
      </c>
      <c r="G14">
        <v>0</v>
      </c>
      <c r="H14">
        <v>0.88493999307285998</v>
      </c>
      <c r="I14">
        <v>1.29999999999999E-3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0.13635576859690099</v>
      </c>
      <c r="D15">
        <v>0.23932947281076</v>
      </c>
      <c r="E15">
        <v>0.14609171434212001</v>
      </c>
      <c r="F15">
        <v>0.14331802661225601</v>
      </c>
      <c r="G15">
        <v>0</v>
      </c>
      <c r="H15">
        <v>0.95348747510454002</v>
      </c>
      <c r="I15">
        <v>1.2999999999999999E-3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0.14114682506223</v>
      </c>
      <c r="D16">
        <v>0.250596458805177</v>
      </c>
      <c r="E16">
        <v>0.156747409904652</v>
      </c>
      <c r="F16">
        <v>0.15579985449630401</v>
      </c>
      <c r="G16">
        <v>0</v>
      </c>
      <c r="H16">
        <v>1.0221033853022901</v>
      </c>
      <c r="I16">
        <v>1.29999999999999E-3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0.14541840593306099</v>
      </c>
      <c r="D17">
        <v>0.26169918928473401</v>
      </c>
      <c r="E17">
        <v>0.168253282699938</v>
      </c>
      <c r="F17">
        <v>0.16957380494591101</v>
      </c>
      <c r="G17">
        <v>0</v>
      </c>
      <c r="H17">
        <v>1.0907867488468199</v>
      </c>
      <c r="I17">
        <v>1.2999999999999999E-3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0.14964067280162599</v>
      </c>
      <c r="D18">
        <v>0.27277030014276199</v>
      </c>
      <c r="E18">
        <v>0.17959649697243099</v>
      </c>
      <c r="F18">
        <v>0.183494262623631</v>
      </c>
      <c r="G18">
        <v>0</v>
      </c>
      <c r="H18">
        <v>1.1595383552415901</v>
      </c>
      <c r="I18">
        <v>1.3000000000000099E-3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0.15381590927306499</v>
      </c>
      <c r="D19">
        <v>0.28380954165435202</v>
      </c>
      <c r="E19">
        <v>0.190778202657123</v>
      </c>
      <c r="F19">
        <v>0.19756147132011301</v>
      </c>
      <c r="G19">
        <v>0</v>
      </c>
      <c r="H19">
        <v>1.2283572718835301</v>
      </c>
      <c r="I19">
        <v>1.3000000000000099E-3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0.15794659297158101</v>
      </c>
      <c r="D20">
        <v>0.294816829374284</v>
      </c>
      <c r="E20">
        <v>0.20179943469550701</v>
      </c>
      <c r="F20">
        <v>0.21177565044694499</v>
      </c>
      <c r="G20">
        <v>0</v>
      </c>
      <c r="H20">
        <v>1.29724427100256</v>
      </c>
      <c r="I20">
        <v>1.2999999999999999E-3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0.162035343635413</v>
      </c>
      <c r="D21">
        <v>0.305792237684616</v>
      </c>
      <c r="E21">
        <v>0.212661124534925</v>
      </c>
      <c r="F21">
        <v>0.22613699747455299</v>
      </c>
      <c r="G21">
        <v>0</v>
      </c>
      <c r="H21">
        <v>1.3661985358453801</v>
      </c>
      <c r="I21">
        <v>1.2999999999999999E-3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0.165619906939765</v>
      </c>
      <c r="D22">
        <v>0.31618641595160002</v>
      </c>
      <c r="E22">
        <v>0.21633023138034699</v>
      </c>
      <c r="F22">
        <v>0.23189981964661799</v>
      </c>
      <c r="G22">
        <v>0</v>
      </c>
      <c r="H22">
        <v>1.4352204684295899</v>
      </c>
      <c r="I22">
        <v>1.2999999999999999E-3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0.16921634335207</v>
      </c>
      <c r="D23">
        <v>0.32658050434194302</v>
      </c>
      <c r="E23">
        <v>0.21994917765834399</v>
      </c>
      <c r="F23">
        <v>0.237703937327715</v>
      </c>
      <c r="G23">
        <v>0</v>
      </c>
      <c r="H23">
        <v>1.50430981420969</v>
      </c>
      <c r="I23">
        <v>1.29999999999999E-3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0.172824432670835</v>
      </c>
      <c r="D24">
        <v>0.33697481238062799</v>
      </c>
      <c r="E24">
        <v>0.22351864239402799</v>
      </c>
      <c r="F24">
        <v>0.24354949447378499</v>
      </c>
      <c r="G24">
        <v>0</v>
      </c>
      <c r="H24">
        <v>1.57346663414433</v>
      </c>
      <c r="I24">
        <v>1.29999999999998E-3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0.176443941994264</v>
      </c>
      <c r="D25">
        <v>0.34736962622380302</v>
      </c>
      <c r="E25">
        <v>0.22703923671000101</v>
      </c>
      <c r="F25">
        <v>0.24943662064517499</v>
      </c>
      <c r="G25">
        <v>0</v>
      </c>
      <c r="H25">
        <v>1.6426906603488001</v>
      </c>
      <c r="I25">
        <v>1.29999999999999E-3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0.18007462864153201</v>
      </c>
      <c r="D26">
        <v>0.357765209808517</v>
      </c>
      <c r="E26">
        <v>0.23051151061660499</v>
      </c>
      <c r="F26">
        <v>0.25536543244619703</v>
      </c>
      <c r="G26">
        <v>0</v>
      </c>
      <c r="H26">
        <v>1.7119816847925899</v>
      </c>
      <c r="I26">
        <v>1.29999999999998E-3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0.173467703101266</v>
      </c>
      <c r="D27">
        <v>0.35307828783872103</v>
      </c>
      <c r="E27">
        <v>0.23202718776586001</v>
      </c>
      <c r="F27">
        <v>0.25625230499359902</v>
      </c>
      <c r="G27">
        <v>0</v>
      </c>
      <c r="H27">
        <v>1.7119816847925899</v>
      </c>
      <c r="I27">
        <v>-5.6669440789383597E-4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9.855468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2.2146158834970599E-2</v>
      </c>
      <c r="D2">
        <v>3.0403933715392899E-2</v>
      </c>
      <c r="E2">
        <v>1.6418604651162801E-2</v>
      </c>
      <c r="F2">
        <v>1.50883720930233E-2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3.9023528704774997E-2</v>
      </c>
      <c r="D3">
        <v>5.6813748692027703E-2</v>
      </c>
      <c r="E3">
        <v>2.16791628677462E-2</v>
      </c>
      <c r="F3">
        <v>1.9039511704955499E-2</v>
      </c>
      <c r="G3">
        <v>0</v>
      </c>
      <c r="H3">
        <v>0.13539852345039699</v>
      </c>
      <c r="I3">
        <v>1.2999999999999999E-3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5.6209465511939602E-2</v>
      </c>
      <c r="D4">
        <v>8.3406894018566102E-2</v>
      </c>
      <c r="E4">
        <v>2.8762581446714501E-2</v>
      </c>
      <c r="F4">
        <v>2.4832244237412201E-2</v>
      </c>
      <c r="G4">
        <v>0</v>
      </c>
      <c r="H4">
        <v>0.20319958603028701</v>
      </c>
      <c r="I4">
        <v>1.2999999999999999E-3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7.4270904992486397E-2</v>
      </c>
      <c r="D5">
        <v>0.11065871980559699</v>
      </c>
      <c r="E5">
        <v>4.35501303982124E-2</v>
      </c>
      <c r="F5">
        <v>3.8345966444724197E-2</v>
      </c>
      <c r="G5">
        <v>0</v>
      </c>
      <c r="H5">
        <v>0.27106781689211501</v>
      </c>
      <c r="I5">
        <v>1.2999999999999999E-3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9.3605830805780693E-2</v>
      </c>
      <c r="D6">
        <v>0.13888394466970799</v>
      </c>
      <c r="E6">
        <v>6.9609994144954002E-2</v>
      </c>
      <c r="F6">
        <v>6.3147176819372597E-2</v>
      </c>
      <c r="G6">
        <v>0</v>
      </c>
      <c r="H6">
        <v>0.33900402892857001</v>
      </c>
      <c r="I6">
        <v>1.2999999999999999E-3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9.8280525065093702E-2</v>
      </c>
      <c r="D7">
        <v>0.149935884160383</v>
      </c>
      <c r="E7">
        <v>7.6261210703509705E-2</v>
      </c>
      <c r="F7">
        <v>6.9342134677360903E-2</v>
      </c>
      <c r="G7">
        <v>0</v>
      </c>
      <c r="H7">
        <v>0.40700858300437598</v>
      </c>
      <c r="I7">
        <v>1.2999999999999999E-3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0.102926378279642</v>
      </c>
      <c r="D8">
        <v>0.160970693163067</v>
      </c>
      <c r="E8">
        <v>8.2820761188340905E-2</v>
      </c>
      <c r="F8">
        <v>7.5595042722628306E-2</v>
      </c>
      <c r="G8">
        <v>0</v>
      </c>
      <c r="H8">
        <v>0.475080097150964</v>
      </c>
      <c r="I8">
        <v>1.2999999999999999E-3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0.107545088788937</v>
      </c>
      <c r="D9">
        <v>0.171988679830823</v>
      </c>
      <c r="E9">
        <v>8.9291343307587603E-2</v>
      </c>
      <c r="F9">
        <v>8.1906480085290806E-2</v>
      </c>
      <c r="G9">
        <v>0</v>
      </c>
      <c r="H9">
        <v>0.54322040082674306</v>
      </c>
      <c r="I9">
        <v>1.2999999999999999E-3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0.112138387129757</v>
      </c>
      <c r="D10">
        <v>0.18299019510468401</v>
      </c>
      <c r="E10">
        <v>9.56753849985746E-2</v>
      </c>
      <c r="F10">
        <v>8.82769679824537E-2</v>
      </c>
      <c r="G10">
        <v>0</v>
      </c>
      <c r="H10">
        <v>0.61142831892488603</v>
      </c>
      <c r="I10">
        <v>1.2999999999999999E-3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0.116708015910912</v>
      </c>
      <c r="D11">
        <v>0.19397562843824601</v>
      </c>
      <c r="E11">
        <v>0.10197507140489601</v>
      </c>
      <c r="F11">
        <v>9.4706975509510405E-2</v>
      </c>
      <c r="G11">
        <v>0</v>
      </c>
      <c r="H11">
        <v>0.679704227596719</v>
      </c>
      <c r="I11">
        <v>1.2999999999999999E-3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0.12169548090426199</v>
      </c>
      <c r="D12">
        <v>0.20535594197007201</v>
      </c>
      <c r="E12">
        <v>0.11323118814550701</v>
      </c>
      <c r="F12">
        <v>0.10666291681898001</v>
      </c>
      <c r="G12">
        <v>0</v>
      </c>
      <c r="H12">
        <v>0.74804815942090097</v>
      </c>
      <c r="I12">
        <v>1.29999999999999E-3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0.1266317624695</v>
      </c>
      <c r="D13">
        <v>0.21670877499760699</v>
      </c>
      <c r="E13">
        <v>0.12433496545162399</v>
      </c>
      <c r="F13">
        <v>0.118749850158408</v>
      </c>
      <c r="G13">
        <v>0</v>
      </c>
      <c r="H13">
        <v>0.81646023079441599</v>
      </c>
      <c r="I13">
        <v>1.29999999999997E-3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0.13151802028130599</v>
      </c>
      <c r="D14">
        <v>0.228033457286452</v>
      </c>
      <c r="E14">
        <v>0.13528799629292401</v>
      </c>
      <c r="F14">
        <v>0.130968117498338</v>
      </c>
      <c r="G14">
        <v>0</v>
      </c>
      <c r="H14">
        <v>0.88493999307285998</v>
      </c>
      <c r="I14">
        <v>1.29999999999999E-3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0.13635576859690099</v>
      </c>
      <c r="D15">
        <v>0.23932947281076</v>
      </c>
      <c r="E15">
        <v>0.14609171434212001</v>
      </c>
      <c r="F15">
        <v>0.14331802661225601</v>
      </c>
      <c r="G15">
        <v>0</v>
      </c>
      <c r="H15">
        <v>0.95348747510454002</v>
      </c>
      <c r="I15">
        <v>1.2999999999999999E-3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0.14114682506223</v>
      </c>
      <c r="D16">
        <v>0.250596458805177</v>
      </c>
      <c r="E16">
        <v>0.156747409904652</v>
      </c>
      <c r="F16">
        <v>0.15579985449630401</v>
      </c>
      <c r="G16">
        <v>0</v>
      </c>
      <c r="H16">
        <v>1.0221033853022901</v>
      </c>
      <c r="I16">
        <v>1.29999999999999E-3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0.14541840593306099</v>
      </c>
      <c r="D17">
        <v>0.26169918928473401</v>
      </c>
      <c r="E17">
        <v>0.168253282699938</v>
      </c>
      <c r="F17">
        <v>0.16957380494591101</v>
      </c>
      <c r="G17">
        <v>0</v>
      </c>
      <c r="H17">
        <v>1.0907867488468199</v>
      </c>
      <c r="I17">
        <v>1.2999999999999999E-3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0.14964067280162599</v>
      </c>
      <c r="D18">
        <v>0.27277030014276199</v>
      </c>
      <c r="E18">
        <v>0.17959649697243099</v>
      </c>
      <c r="F18">
        <v>0.183494262623631</v>
      </c>
      <c r="G18">
        <v>0</v>
      </c>
      <c r="H18">
        <v>1.1595383552415901</v>
      </c>
      <c r="I18">
        <v>1.3000000000000099E-3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0.15381590927306499</v>
      </c>
      <c r="D19">
        <v>0.28380954165435202</v>
      </c>
      <c r="E19">
        <v>0.190778202657123</v>
      </c>
      <c r="F19">
        <v>0.19756147132011301</v>
      </c>
      <c r="G19">
        <v>0</v>
      </c>
      <c r="H19">
        <v>1.2283572718835301</v>
      </c>
      <c r="I19">
        <v>1.3000000000000099E-3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0.15794659297158101</v>
      </c>
      <c r="D20">
        <v>0.294816829374284</v>
      </c>
      <c r="E20">
        <v>0.20179943469550701</v>
      </c>
      <c r="F20">
        <v>0.21177565044694499</v>
      </c>
      <c r="G20">
        <v>0</v>
      </c>
      <c r="H20">
        <v>1.29724427100256</v>
      </c>
      <c r="I20">
        <v>1.2999999999999999E-3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0.162035343635413</v>
      </c>
      <c r="D21">
        <v>0.305792237684616</v>
      </c>
      <c r="E21">
        <v>0.212661124534925</v>
      </c>
      <c r="F21">
        <v>0.22613699747455299</v>
      </c>
      <c r="G21">
        <v>0</v>
      </c>
      <c r="H21">
        <v>1.3661985358453801</v>
      </c>
      <c r="I21">
        <v>1.2999999999999999E-3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0.165619906939765</v>
      </c>
      <c r="D22">
        <v>0.31618641595160002</v>
      </c>
      <c r="E22">
        <v>0.21633023138034699</v>
      </c>
      <c r="F22">
        <v>0.23189981964661799</v>
      </c>
      <c r="G22">
        <v>0</v>
      </c>
      <c r="H22">
        <v>1.4352204684295899</v>
      </c>
      <c r="I22">
        <v>1.2999999999999999E-3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0.16921634335207</v>
      </c>
      <c r="D23">
        <v>0.32658050434194302</v>
      </c>
      <c r="E23">
        <v>0.21994917765834399</v>
      </c>
      <c r="F23">
        <v>0.237703937327715</v>
      </c>
      <c r="G23">
        <v>0</v>
      </c>
      <c r="H23">
        <v>1.50430981420969</v>
      </c>
      <c r="I23">
        <v>1.29999999999999E-3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0.172824432670835</v>
      </c>
      <c r="D24">
        <v>0.33697481238062799</v>
      </c>
      <c r="E24">
        <v>0.22351864239402799</v>
      </c>
      <c r="F24">
        <v>0.24354949447378499</v>
      </c>
      <c r="G24">
        <v>0</v>
      </c>
      <c r="H24">
        <v>1.57346663414433</v>
      </c>
      <c r="I24">
        <v>1.29999999999998E-3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0.176443941994264</v>
      </c>
      <c r="D25">
        <v>0.34736962622380302</v>
      </c>
      <c r="E25">
        <v>0.22703923671000101</v>
      </c>
      <c r="F25">
        <v>0.24943662064517499</v>
      </c>
      <c r="G25">
        <v>0</v>
      </c>
      <c r="H25">
        <v>1.6426906603488001</v>
      </c>
      <c r="I25">
        <v>1.29999999999999E-3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0.18007462864153201</v>
      </c>
      <c r="D26">
        <v>0.357765209808517</v>
      </c>
      <c r="E26">
        <v>0.23051151061660499</v>
      </c>
      <c r="F26">
        <v>0.25536543244619703</v>
      </c>
      <c r="G26">
        <v>0</v>
      </c>
      <c r="H26">
        <v>1.7119816847925899</v>
      </c>
      <c r="I26">
        <v>1.29999999999998E-3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0.173467703101266</v>
      </c>
      <c r="D27">
        <v>0.35307828783872103</v>
      </c>
      <c r="E27">
        <v>0.23202718776586001</v>
      </c>
      <c r="F27">
        <v>0.25625230499359902</v>
      </c>
      <c r="G27">
        <v>0</v>
      </c>
      <c r="H27">
        <v>1.7119816847925899</v>
      </c>
      <c r="I27">
        <v>-5.6669440789383597E-4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8"/>
  <sheetViews>
    <sheetView workbookViewId="0">
      <selection activeCell="O30" sqref="O30"/>
    </sheetView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5</v>
      </c>
      <c r="B1" t="s">
        <v>86</v>
      </c>
      <c r="C1" t="s">
        <v>127</v>
      </c>
      <c r="D1" t="s">
        <v>123</v>
      </c>
      <c r="E1" t="s">
        <v>125</v>
      </c>
      <c r="F1" t="s">
        <v>119</v>
      </c>
      <c r="G1" t="s">
        <v>121</v>
      </c>
      <c r="H1" t="s">
        <v>7</v>
      </c>
    </row>
    <row r="2" spans="1:8" x14ac:dyDescent="0.25">
      <c r="A2">
        <v>2</v>
      </c>
      <c r="B2">
        <v>-5.4085729788388603E-2</v>
      </c>
      <c r="C2">
        <v>-1.7356406480117902E-2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-5.4085729788388603E-2</v>
      </c>
      <c r="C3">
        <v>-1.7356406480117902E-2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-5.4085729788388603E-2</v>
      </c>
      <c r="C4">
        <v>-1.7356406480117902E-2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-5.4085729788388603E-2</v>
      </c>
      <c r="C5">
        <v>-1.7356406480117902E-2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-5.4085729788388603E-2</v>
      </c>
      <c r="C6">
        <v>-1.7356406480117902E-2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-5.4085729788388603E-2</v>
      </c>
      <c r="C7">
        <v>-1.7356406480117902E-2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-5.4085729788388603E-2</v>
      </c>
      <c r="C8">
        <v>-1.7356406480117902E-2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-5.4085729788388603E-2</v>
      </c>
      <c r="C9">
        <v>-1.7356406480117902E-2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-5.4085729788388603E-2</v>
      </c>
      <c r="C10">
        <v>-1.7356406480117902E-2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-5.4085729788388603E-2</v>
      </c>
      <c r="C11">
        <v>-1.7356406480117902E-2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-5.4085729788388603E-2</v>
      </c>
      <c r="C12">
        <v>-1.7356406480117902E-2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-5.4085729788388603E-2</v>
      </c>
      <c r="C13">
        <v>-1.7356406480117902E-2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-5.4085729788388603E-2</v>
      </c>
      <c r="C14">
        <v>-1.7356406480117902E-2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-5.4085729788388603E-2</v>
      </c>
      <c r="C15">
        <v>-1.7356406480117902E-2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-5.4085729788388603E-2</v>
      </c>
      <c r="C16">
        <v>-1.7356406480117902E-2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-5.4085729788388603E-2</v>
      </c>
      <c r="C17">
        <v>-1.7356406480117902E-2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-5.4085729788388603E-2</v>
      </c>
      <c r="C18">
        <v>-1.7356406480117902E-2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-5.4085729788388603E-2</v>
      </c>
      <c r="C19">
        <v>-1.7356406480117902E-2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-5.4085729788388603E-2</v>
      </c>
      <c r="C20">
        <v>-1.7356406480117902E-2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-5.4085729788388603E-2</v>
      </c>
      <c r="C21">
        <v>-1.7356406480117902E-2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-5.4085729788388603E-2</v>
      </c>
      <c r="C22">
        <v>-1.7356406480117902E-2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-5.4085729788388603E-2</v>
      </c>
      <c r="C23">
        <v>-1.7356406480117902E-2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-5.4085729788388603E-2</v>
      </c>
      <c r="C24">
        <v>-1.7356406480117902E-2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-5.4085729788388603E-2</v>
      </c>
      <c r="C25">
        <v>-1.7356406480117902E-2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-5.4085729788388603E-2</v>
      </c>
      <c r="C26">
        <v>-1.7356406480117902E-2</v>
      </c>
      <c r="D26">
        <v>1</v>
      </c>
      <c r="E26">
        <v>0.19</v>
      </c>
      <c r="F26">
        <v>1</v>
      </c>
      <c r="G26">
        <v>0.14000000000000001</v>
      </c>
      <c r="H26">
        <v>1</v>
      </c>
    </row>
    <row r="27" spans="1:8" x14ac:dyDescent="0.25">
      <c r="A27">
        <v>27</v>
      </c>
      <c r="B27">
        <v>-5.4085729788388603E-2</v>
      </c>
      <c r="C27">
        <v>-1.7356406480117902E-2</v>
      </c>
      <c r="D27">
        <v>1</v>
      </c>
      <c r="E27">
        <v>0.19</v>
      </c>
      <c r="F27">
        <v>1</v>
      </c>
      <c r="G27">
        <v>0.14000000000000001</v>
      </c>
      <c r="H27">
        <v>1</v>
      </c>
    </row>
    <row r="28" spans="1:8" x14ac:dyDescent="0.25">
      <c r="A28">
        <v>28</v>
      </c>
      <c r="B28">
        <v>-5.4085729788388603E-2</v>
      </c>
      <c r="C28">
        <v>-1.7356406480117902E-2</v>
      </c>
      <c r="D28">
        <v>0</v>
      </c>
      <c r="E28">
        <v>0.19</v>
      </c>
      <c r="F28">
        <v>0</v>
      </c>
      <c r="G28">
        <v>0.14000000000000001</v>
      </c>
      <c r="H28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8"/>
  <sheetViews>
    <sheetView workbookViewId="0">
      <selection activeCell="O30" sqref="O30"/>
    </sheetView>
  </sheetViews>
  <sheetFormatPr defaultRowHeight="15" x14ac:dyDescent="0.25"/>
  <cols>
    <col min="1" max="1" width="5.5703125" customWidth="1"/>
    <col min="2" max="2" width="15.42578125" customWidth="1"/>
    <col min="3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5</v>
      </c>
      <c r="B1" t="s">
        <v>86</v>
      </c>
      <c r="C1" t="s">
        <v>127</v>
      </c>
      <c r="D1" t="s">
        <v>123</v>
      </c>
      <c r="E1" t="s">
        <v>125</v>
      </c>
      <c r="F1" t="s">
        <v>119</v>
      </c>
      <c r="G1" t="s">
        <v>121</v>
      </c>
      <c r="H1" t="s">
        <v>7</v>
      </c>
    </row>
    <row r="2" spans="1:8" x14ac:dyDescent="0.25">
      <c r="A2">
        <v>2</v>
      </c>
      <c r="B2">
        <v>-5.2698668384879799E-2</v>
      </c>
      <c r="C2">
        <v>-1.18955769870304E-2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-5.2698668384879799E-2</v>
      </c>
      <c r="C3">
        <v>-1.18955769870304E-2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-5.2698668384879799E-2</v>
      </c>
      <c r="C4">
        <v>-1.18955769870304E-2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-5.2698668384879799E-2</v>
      </c>
      <c r="C5">
        <v>-1.18955769870304E-2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-5.2698668384879799E-2</v>
      </c>
      <c r="C6">
        <v>-1.18955769870304E-2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-5.2698668384879799E-2</v>
      </c>
      <c r="C7">
        <v>-1.18955769870304E-2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-5.2698668384879799E-2</v>
      </c>
      <c r="C8">
        <v>-1.18955769870304E-2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-5.2698668384879799E-2</v>
      </c>
      <c r="C9">
        <v>-1.18955769870304E-2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-5.2698668384879799E-2</v>
      </c>
      <c r="C10">
        <v>-1.18955769870304E-2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-5.2698668384879799E-2</v>
      </c>
      <c r="C11">
        <v>-1.18955769870304E-2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-5.2698668384879799E-2</v>
      </c>
      <c r="C12">
        <v>-1.18955769870304E-2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-5.2698668384879799E-2</v>
      </c>
      <c r="C13">
        <v>-1.18955769870304E-2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-5.2698668384879799E-2</v>
      </c>
      <c r="C14">
        <v>-1.18955769870304E-2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-5.2698668384879799E-2</v>
      </c>
      <c r="C15">
        <v>-1.18955769870304E-2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-5.2698668384879799E-2</v>
      </c>
      <c r="C16">
        <v>-1.18955769870304E-2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-5.2698668384879799E-2</v>
      </c>
      <c r="C17">
        <v>-1.18955769870304E-2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-5.2698668384879799E-2</v>
      </c>
      <c r="C18">
        <v>-1.18955769870304E-2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-5.2698668384879799E-2</v>
      </c>
      <c r="C19">
        <v>-1.18955769870304E-2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-5.2698668384879799E-2</v>
      </c>
      <c r="C20">
        <v>-1.18955769870304E-2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-5.2698668384879799E-2</v>
      </c>
      <c r="C21">
        <v>-1.18955769870304E-2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-5.2698668384879799E-2</v>
      </c>
      <c r="C22">
        <v>-1.18955769870304E-2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-5.2698668384879799E-2</v>
      </c>
      <c r="C23">
        <v>-1.18955769870304E-2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-5.2698668384879799E-2</v>
      </c>
      <c r="C24">
        <v>-1.18955769870304E-2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-5.2698668384879799E-2</v>
      </c>
      <c r="C25">
        <v>-1.18955769870304E-2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-5.2698668384879799E-2</v>
      </c>
      <c r="C26">
        <v>-1.18955769870304E-2</v>
      </c>
      <c r="D26">
        <v>1</v>
      </c>
      <c r="E26">
        <v>9.6000000000000002E-2</v>
      </c>
      <c r="F26">
        <v>1</v>
      </c>
      <c r="G26">
        <v>0.124</v>
      </c>
      <c r="H26">
        <v>1</v>
      </c>
    </row>
    <row r="27" spans="1:8" x14ac:dyDescent="0.25">
      <c r="A27">
        <v>27</v>
      </c>
      <c r="B27">
        <v>-5.2698668384879799E-2</v>
      </c>
      <c r="C27">
        <v>-1.18955769870304E-2</v>
      </c>
      <c r="D27">
        <v>1</v>
      </c>
      <c r="E27">
        <v>9.6000000000000002E-2</v>
      </c>
      <c r="F27">
        <v>1</v>
      </c>
      <c r="G27">
        <v>0.124</v>
      </c>
      <c r="H27">
        <v>1</v>
      </c>
    </row>
    <row r="28" spans="1:8" x14ac:dyDescent="0.25">
      <c r="A28">
        <v>28</v>
      </c>
      <c r="B28">
        <v>-5.2698668384879799E-2</v>
      </c>
      <c r="C28">
        <v>-1.18955769870304E-2</v>
      </c>
      <c r="D28">
        <v>0</v>
      </c>
      <c r="E28">
        <v>9.6000000000000002E-2</v>
      </c>
      <c r="F28">
        <v>0</v>
      </c>
      <c r="G28">
        <v>0.124</v>
      </c>
      <c r="H28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8"/>
  <sheetViews>
    <sheetView workbookViewId="0">
      <selection activeCell="O30" sqref="O30"/>
    </sheetView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5</v>
      </c>
      <c r="B1" t="s">
        <v>86</v>
      </c>
      <c r="C1" t="s">
        <v>127</v>
      </c>
      <c r="D1" t="s">
        <v>123</v>
      </c>
      <c r="E1" t="s">
        <v>125</v>
      </c>
      <c r="F1" t="s">
        <v>119</v>
      </c>
      <c r="G1" t="s">
        <v>121</v>
      </c>
      <c r="H1" t="s">
        <v>7</v>
      </c>
    </row>
    <row r="2" spans="1:8" x14ac:dyDescent="0.25">
      <c r="A2">
        <v>2</v>
      </c>
      <c r="B2">
        <v>-5.8681259709080801E-2</v>
      </c>
      <c r="C2">
        <v>-2.0927835051546499E-2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-5.8681259709080801E-2</v>
      </c>
      <c r="C3">
        <v>-2.0927835051546499E-2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-5.8681259709080801E-2</v>
      </c>
      <c r="C4">
        <v>-2.0927835051546499E-2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-5.8681259709080801E-2</v>
      </c>
      <c r="C5">
        <v>-2.0927835051546499E-2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-5.8681259709080801E-2</v>
      </c>
      <c r="C6">
        <v>-2.0927835051546499E-2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-5.8681259709080801E-2</v>
      </c>
      <c r="C7">
        <v>-2.0927835051546499E-2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-5.8681259709080801E-2</v>
      </c>
      <c r="C8">
        <v>-2.0927835051546499E-2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-5.8681259709080801E-2</v>
      </c>
      <c r="C9">
        <v>-2.0927835051546499E-2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-5.8681259709080801E-2</v>
      </c>
      <c r="C10">
        <v>-2.0927835051546499E-2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-5.8681259709080801E-2</v>
      </c>
      <c r="C11">
        <v>-2.0927835051546499E-2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-5.8681259709080801E-2</v>
      </c>
      <c r="C12">
        <v>-2.0927835051546499E-2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-5.8681259709080801E-2</v>
      </c>
      <c r="C13">
        <v>-2.0927835051546499E-2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-5.8681259709080801E-2</v>
      </c>
      <c r="C14">
        <v>-2.0927835051546499E-2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-5.8681259709080801E-2</v>
      </c>
      <c r="C15">
        <v>-2.0927835051546499E-2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-5.8681259709080801E-2</v>
      </c>
      <c r="C16">
        <v>-2.0927835051546499E-2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-5.8681259709080801E-2</v>
      </c>
      <c r="C17">
        <v>-2.0927835051546499E-2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-5.8681259709080801E-2</v>
      </c>
      <c r="C18">
        <v>-2.0927835051546499E-2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-5.8681259709080801E-2</v>
      </c>
      <c r="C19">
        <v>-2.0927835051546499E-2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-5.8681259709080801E-2</v>
      </c>
      <c r="C20">
        <v>-2.0927835051546499E-2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-5.8681259709080801E-2</v>
      </c>
      <c r="C21">
        <v>-2.0927835051546499E-2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-5.8681259709080801E-2</v>
      </c>
      <c r="C22">
        <v>-2.0927835051546499E-2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-5.8681259709080801E-2</v>
      </c>
      <c r="C23">
        <v>-2.0927835051546499E-2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-5.8681259709080801E-2</v>
      </c>
      <c r="C24">
        <v>-2.0927835051546499E-2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-5.8681259709080801E-2</v>
      </c>
      <c r="C25">
        <v>-2.0927835051546499E-2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-5.8681259709080801E-2</v>
      </c>
      <c r="C26">
        <v>-2.0927835051546499E-2</v>
      </c>
      <c r="D26">
        <v>1</v>
      </c>
      <c r="E26">
        <v>0.36499999999999999</v>
      </c>
      <c r="F26">
        <v>1</v>
      </c>
      <c r="G26">
        <v>0.19</v>
      </c>
      <c r="H26">
        <v>1</v>
      </c>
    </row>
    <row r="27" spans="1:8" x14ac:dyDescent="0.25">
      <c r="A27">
        <v>27</v>
      </c>
      <c r="B27">
        <v>-5.8681259709080801E-2</v>
      </c>
      <c r="C27">
        <v>-2.0927835051546499E-2</v>
      </c>
      <c r="D27">
        <v>1</v>
      </c>
      <c r="E27">
        <v>0.36499999999999999</v>
      </c>
      <c r="F27">
        <v>1</v>
      </c>
      <c r="G27">
        <v>0.19</v>
      </c>
      <c r="H27">
        <v>1</v>
      </c>
    </row>
    <row r="28" spans="1:8" x14ac:dyDescent="0.25">
      <c r="A28">
        <v>28</v>
      </c>
      <c r="B28">
        <v>-5.8681259709080801E-2</v>
      </c>
      <c r="C28">
        <v>-2.0927835051546499E-2</v>
      </c>
      <c r="D28">
        <v>0</v>
      </c>
      <c r="E28">
        <v>0.36499999999999999</v>
      </c>
      <c r="F28">
        <v>0</v>
      </c>
      <c r="G28">
        <v>0.19</v>
      </c>
      <c r="H2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8"/>
  <sheetViews>
    <sheetView workbookViewId="0">
      <selection activeCell="O30" sqref="O30"/>
    </sheetView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5</v>
      </c>
      <c r="B1" t="s">
        <v>86</v>
      </c>
      <c r="C1" t="s">
        <v>127</v>
      </c>
      <c r="D1" t="s">
        <v>123</v>
      </c>
      <c r="E1" t="s">
        <v>125</v>
      </c>
      <c r="F1" t="s">
        <v>119</v>
      </c>
      <c r="G1" t="s">
        <v>121</v>
      </c>
      <c r="H1" t="s">
        <v>7</v>
      </c>
    </row>
    <row r="2" spans="1:8" x14ac:dyDescent="0.25">
      <c r="A2">
        <v>2</v>
      </c>
      <c r="B2">
        <v>-5.4085729788388603E-2</v>
      </c>
      <c r="C2">
        <v>-1.7356406480117902E-2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-5.4085729788388603E-2</v>
      </c>
      <c r="C3">
        <v>-1.7356406480117902E-2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-5.4085729788388603E-2</v>
      </c>
      <c r="C4">
        <v>-1.7356406480117902E-2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-5.4085729788388603E-2</v>
      </c>
      <c r="C5">
        <v>-1.7356406480117902E-2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-5.4085729788388603E-2</v>
      </c>
      <c r="C6">
        <v>-1.7356406480117902E-2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-5.4085729788388603E-2</v>
      </c>
      <c r="C7">
        <v>-1.7356406480117902E-2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-5.4085729788388603E-2</v>
      </c>
      <c r="C8">
        <v>-1.7356406480117902E-2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-5.4085729788388603E-2</v>
      </c>
      <c r="C9">
        <v>-1.7356406480117902E-2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-5.4085729788388603E-2</v>
      </c>
      <c r="C10">
        <v>-1.7356406480117902E-2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-5.4085729788388603E-2</v>
      </c>
      <c r="C11">
        <v>-1.7356406480117902E-2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-5.4085729788388603E-2</v>
      </c>
      <c r="C12">
        <v>-1.7356406480117902E-2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-5.4085729788388603E-2</v>
      </c>
      <c r="C13">
        <v>-1.7356406480117902E-2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-5.4085729788388603E-2</v>
      </c>
      <c r="C14">
        <v>-1.7356406480117902E-2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-5.4085729788388603E-2</v>
      </c>
      <c r="C15">
        <v>-1.7356406480117902E-2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-5.4085729788388603E-2</v>
      </c>
      <c r="C16">
        <v>-1.7356406480117902E-2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-5.4085729788388603E-2</v>
      </c>
      <c r="C17">
        <v>-1.7356406480117902E-2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-5.4085729788388603E-2</v>
      </c>
      <c r="C18">
        <v>-1.7356406480117902E-2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-5.4085729788388603E-2</v>
      </c>
      <c r="C19">
        <v>-1.7356406480117902E-2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-5.4085729788388603E-2</v>
      </c>
      <c r="C20">
        <v>-1.7356406480117902E-2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-5.4085729788388603E-2</v>
      </c>
      <c r="C21">
        <v>-1.7356406480117902E-2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-5.4085729788388603E-2</v>
      </c>
      <c r="C22">
        <v>-1.7356406480117902E-2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-5.4085729788388603E-2</v>
      </c>
      <c r="C23">
        <v>-1.7356406480117902E-2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-5.4085729788388603E-2</v>
      </c>
      <c r="C24">
        <v>-1.7356406480117902E-2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-5.4085729788388603E-2</v>
      </c>
      <c r="C25">
        <v>-1.7356406480117902E-2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-5.4085729788388603E-2</v>
      </c>
      <c r="C26">
        <v>-1.7356406480117902E-2</v>
      </c>
      <c r="D26">
        <v>1</v>
      </c>
      <c r="E26">
        <v>0.19</v>
      </c>
      <c r="F26">
        <v>1</v>
      </c>
      <c r="G26">
        <v>0.14000000000000001</v>
      </c>
      <c r="H26">
        <v>1</v>
      </c>
    </row>
    <row r="27" spans="1:8" x14ac:dyDescent="0.25">
      <c r="A27">
        <v>27</v>
      </c>
      <c r="B27">
        <v>-5.4085729788388603E-2</v>
      </c>
      <c r="C27">
        <v>-1.7356406480117902E-2</v>
      </c>
      <c r="D27">
        <v>1</v>
      </c>
      <c r="E27">
        <v>0.19</v>
      </c>
      <c r="F27">
        <v>1</v>
      </c>
      <c r="G27">
        <v>0.14000000000000001</v>
      </c>
      <c r="H27">
        <v>1</v>
      </c>
    </row>
    <row r="28" spans="1:8" x14ac:dyDescent="0.25">
      <c r="A28">
        <v>28</v>
      </c>
      <c r="B28">
        <v>-5.4085729788388603E-2</v>
      </c>
      <c r="C28">
        <v>-1.7356406480117902E-2</v>
      </c>
      <c r="D28">
        <v>0</v>
      </c>
      <c r="E28">
        <v>0.19</v>
      </c>
      <c r="F28">
        <v>0</v>
      </c>
      <c r="G28">
        <v>0.14000000000000001</v>
      </c>
      <c r="H28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8"/>
  <sheetViews>
    <sheetView workbookViewId="0">
      <selection activeCell="O30" sqref="O30"/>
    </sheetView>
  </sheetViews>
  <sheetFormatPr defaultRowHeight="15" x14ac:dyDescent="0.25"/>
  <cols>
    <col min="1" max="1" width="5.5703125" customWidth="1"/>
    <col min="2" max="2" width="15.42578125" customWidth="1"/>
    <col min="3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5</v>
      </c>
      <c r="B1" t="s">
        <v>86</v>
      </c>
      <c r="C1" t="s">
        <v>127</v>
      </c>
      <c r="D1" t="s">
        <v>123</v>
      </c>
      <c r="E1" t="s">
        <v>125</v>
      </c>
      <c r="F1" t="s">
        <v>119</v>
      </c>
      <c r="G1" t="s">
        <v>121</v>
      </c>
      <c r="H1" t="s">
        <v>7</v>
      </c>
    </row>
    <row r="2" spans="1:8" x14ac:dyDescent="0.25">
      <c r="A2">
        <v>2</v>
      </c>
      <c r="B2">
        <v>-5.2698668384879799E-2</v>
      </c>
      <c r="C2">
        <v>-1.18955769870304E-2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-5.2698668384879799E-2</v>
      </c>
      <c r="C3">
        <v>-1.18955769870304E-2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-5.2698668384879799E-2</v>
      </c>
      <c r="C4">
        <v>-1.18955769870304E-2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-5.2698668384879799E-2</v>
      </c>
      <c r="C5">
        <v>-1.18955769870304E-2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-5.2698668384879799E-2</v>
      </c>
      <c r="C6">
        <v>-1.18955769870304E-2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-5.2698668384879799E-2</v>
      </c>
      <c r="C7">
        <v>-1.18955769870304E-2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-5.2698668384879799E-2</v>
      </c>
      <c r="C8">
        <v>-1.18955769870304E-2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-5.2698668384879799E-2</v>
      </c>
      <c r="C9">
        <v>-1.18955769870304E-2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-5.2698668384879799E-2</v>
      </c>
      <c r="C10">
        <v>-1.18955769870304E-2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-5.2698668384879799E-2</v>
      </c>
      <c r="C11">
        <v>-1.18955769870304E-2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-5.2698668384879799E-2</v>
      </c>
      <c r="C12">
        <v>-1.18955769870304E-2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-5.2698668384879799E-2</v>
      </c>
      <c r="C13">
        <v>-1.18955769870304E-2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-5.2698668384879799E-2</v>
      </c>
      <c r="C14">
        <v>-1.18955769870304E-2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-5.2698668384879799E-2</v>
      </c>
      <c r="C15">
        <v>-1.18955769870304E-2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-5.2698668384879799E-2</v>
      </c>
      <c r="C16">
        <v>-1.18955769870304E-2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-5.2698668384879799E-2</v>
      </c>
      <c r="C17">
        <v>-1.18955769870304E-2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-5.2698668384879799E-2</v>
      </c>
      <c r="C18">
        <v>-1.18955769870304E-2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-5.2698668384879799E-2</v>
      </c>
      <c r="C19">
        <v>-1.18955769870304E-2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-5.2698668384879799E-2</v>
      </c>
      <c r="C20">
        <v>-1.18955769870304E-2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-5.2698668384879799E-2</v>
      </c>
      <c r="C21">
        <v>-1.18955769870304E-2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-5.2698668384879799E-2</v>
      </c>
      <c r="C22">
        <v>-1.18955769870304E-2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-5.2698668384879799E-2</v>
      </c>
      <c r="C23">
        <v>-1.18955769870304E-2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-5.2698668384879799E-2</v>
      </c>
      <c r="C24">
        <v>-1.18955769870304E-2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-5.2698668384879799E-2</v>
      </c>
      <c r="C25">
        <v>-1.18955769870304E-2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-5.2698668384879799E-2</v>
      </c>
      <c r="C26">
        <v>-1.18955769870304E-2</v>
      </c>
      <c r="D26">
        <v>1</v>
      </c>
      <c r="E26">
        <v>9.6000000000000002E-2</v>
      </c>
      <c r="F26">
        <v>1</v>
      </c>
      <c r="G26">
        <v>0.124</v>
      </c>
      <c r="H26">
        <v>1</v>
      </c>
    </row>
    <row r="27" spans="1:8" x14ac:dyDescent="0.25">
      <c r="A27">
        <v>27</v>
      </c>
      <c r="B27">
        <v>-5.2698668384879799E-2</v>
      </c>
      <c r="C27">
        <v>-1.18955769870304E-2</v>
      </c>
      <c r="D27">
        <v>1</v>
      </c>
      <c r="E27">
        <v>9.6000000000000002E-2</v>
      </c>
      <c r="F27">
        <v>1</v>
      </c>
      <c r="G27">
        <v>0.124</v>
      </c>
      <c r="H27">
        <v>1</v>
      </c>
    </row>
    <row r="28" spans="1:8" x14ac:dyDescent="0.25">
      <c r="A28">
        <v>28</v>
      </c>
      <c r="B28">
        <v>-5.2698668384879799E-2</v>
      </c>
      <c r="C28">
        <v>-1.18955769870304E-2</v>
      </c>
      <c r="D28">
        <v>0</v>
      </c>
      <c r="E28">
        <v>9.6000000000000002E-2</v>
      </c>
      <c r="F28">
        <v>0</v>
      </c>
      <c r="G28">
        <v>0.124</v>
      </c>
      <c r="H28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8"/>
  <sheetViews>
    <sheetView workbookViewId="0">
      <selection activeCell="O30" sqref="O30"/>
    </sheetView>
  </sheetViews>
  <sheetFormatPr defaultRowHeight="15" x14ac:dyDescent="0.25"/>
  <cols>
    <col min="1" max="1" width="5.5703125" customWidth="1"/>
    <col min="2" max="3" width="14.42578125" customWidth="1"/>
    <col min="4" max="4" width="16.85546875" customWidth="1"/>
    <col min="5" max="5" width="17.140625" customWidth="1"/>
    <col min="6" max="6" width="17.85546875" customWidth="1"/>
    <col min="7" max="7" width="18.140625" customWidth="1"/>
    <col min="8" max="8" width="15.7109375" customWidth="1"/>
  </cols>
  <sheetData>
    <row r="1" spans="1:8" x14ac:dyDescent="0.25">
      <c r="A1" t="s">
        <v>5</v>
      </c>
      <c r="B1" t="s">
        <v>86</v>
      </c>
      <c r="C1" t="s">
        <v>127</v>
      </c>
      <c r="D1" t="s">
        <v>123</v>
      </c>
      <c r="E1" t="s">
        <v>125</v>
      </c>
      <c r="F1" t="s">
        <v>119</v>
      </c>
      <c r="G1" t="s">
        <v>121</v>
      </c>
      <c r="H1" t="s">
        <v>7</v>
      </c>
    </row>
    <row r="2" spans="1:8" x14ac:dyDescent="0.25">
      <c r="A2">
        <v>2</v>
      </c>
      <c r="B2">
        <v>-5.8681259709080801E-2</v>
      </c>
      <c r="C2">
        <v>-2.0927835051546499E-2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-5.8681259709080801E-2</v>
      </c>
      <c r="C3">
        <v>-2.0927835051546499E-2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-5.8681259709080801E-2</v>
      </c>
      <c r="C4">
        <v>-2.0927835051546499E-2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-5.8681259709080801E-2</v>
      </c>
      <c r="C5">
        <v>-2.0927835051546499E-2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-5.8681259709080801E-2</v>
      </c>
      <c r="C6">
        <v>-2.0927835051546499E-2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-5.8681259709080801E-2</v>
      </c>
      <c r="C7">
        <v>-2.0927835051546499E-2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-5.8681259709080801E-2</v>
      </c>
      <c r="C8">
        <v>-2.0927835051546499E-2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-5.8681259709080801E-2</v>
      </c>
      <c r="C9">
        <v>-2.0927835051546499E-2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-5.8681259709080801E-2</v>
      </c>
      <c r="C10">
        <v>-2.0927835051546499E-2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-5.8681259709080801E-2</v>
      </c>
      <c r="C11">
        <v>-2.0927835051546499E-2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-5.8681259709080801E-2</v>
      </c>
      <c r="C12">
        <v>-2.0927835051546499E-2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-5.8681259709080801E-2</v>
      </c>
      <c r="C13">
        <v>-2.0927835051546499E-2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-5.8681259709080801E-2</v>
      </c>
      <c r="C14">
        <v>-2.0927835051546499E-2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-5.8681259709080801E-2</v>
      </c>
      <c r="C15">
        <v>-2.0927835051546499E-2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-5.8681259709080801E-2</v>
      </c>
      <c r="C16">
        <v>-2.0927835051546499E-2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-5.8681259709080801E-2</v>
      </c>
      <c r="C17">
        <v>-2.0927835051546499E-2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-5.8681259709080801E-2</v>
      </c>
      <c r="C18">
        <v>-2.0927835051546499E-2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-5.8681259709080801E-2</v>
      </c>
      <c r="C19">
        <v>-2.0927835051546499E-2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-5.8681259709080801E-2</v>
      </c>
      <c r="C20">
        <v>-2.0927835051546499E-2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-5.8681259709080801E-2</v>
      </c>
      <c r="C21">
        <v>-2.0927835051546499E-2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-5.8681259709080801E-2</v>
      </c>
      <c r="C22">
        <v>-2.0927835051546499E-2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-5.8681259709080801E-2</v>
      </c>
      <c r="C23">
        <v>-2.0927835051546499E-2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-5.8681259709080801E-2</v>
      </c>
      <c r="C24">
        <v>-2.0927835051546499E-2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-5.8681259709080801E-2</v>
      </c>
      <c r="C25">
        <v>-2.0927835051546499E-2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-5.8681259709080801E-2</v>
      </c>
      <c r="C26">
        <v>-2.0927835051546499E-2</v>
      </c>
      <c r="D26">
        <v>1</v>
      </c>
      <c r="E26">
        <v>0.36499999999999999</v>
      </c>
      <c r="F26">
        <v>1</v>
      </c>
      <c r="G26">
        <v>0.19</v>
      </c>
      <c r="H26">
        <v>1</v>
      </c>
    </row>
    <row r="27" spans="1:8" x14ac:dyDescent="0.25">
      <c r="A27">
        <v>27</v>
      </c>
      <c r="B27">
        <v>-5.8681259709080801E-2</v>
      </c>
      <c r="C27">
        <v>-2.0927835051546499E-2</v>
      </c>
      <c r="D27">
        <v>1</v>
      </c>
      <c r="E27">
        <v>0.36499999999999999</v>
      </c>
      <c r="F27">
        <v>1</v>
      </c>
      <c r="G27">
        <v>0.19</v>
      </c>
      <c r="H27">
        <v>1</v>
      </c>
    </row>
    <row r="28" spans="1:8" x14ac:dyDescent="0.25">
      <c r="A28">
        <v>28</v>
      </c>
      <c r="B28">
        <v>-5.8681259709080801E-2</v>
      </c>
      <c r="C28">
        <v>-2.0927835051546499E-2</v>
      </c>
      <c r="D28">
        <v>0</v>
      </c>
      <c r="E28">
        <v>0.36499999999999999</v>
      </c>
      <c r="F28">
        <v>0</v>
      </c>
      <c r="G28">
        <v>0.19</v>
      </c>
      <c r="H28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D52C-E692-407C-B759-0E885CC80FF8}">
  <dimension ref="A1:T28"/>
  <sheetViews>
    <sheetView tabSelected="1" workbookViewId="0"/>
  </sheetViews>
  <sheetFormatPr defaultRowHeight="15" x14ac:dyDescent="0.25"/>
  <sheetData>
    <row r="1" spans="1:20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  <c r="M1" t="s">
        <v>86</v>
      </c>
      <c r="N1" t="s">
        <v>127</v>
      </c>
      <c r="O1" t="s">
        <v>123</v>
      </c>
      <c r="P1" t="s">
        <v>125</v>
      </c>
      <c r="Q1" t="s">
        <v>119</v>
      </c>
      <c r="R1" t="s">
        <v>121</v>
      </c>
      <c r="S1" t="s">
        <v>7</v>
      </c>
      <c r="T1" t="s">
        <v>8</v>
      </c>
    </row>
    <row r="2" spans="1:20" x14ac:dyDescent="0.25">
      <c r="A2">
        <v>2</v>
      </c>
      <c r="B2">
        <v>2026</v>
      </c>
      <c r="C2">
        <v>2.5202707317519502E-2</v>
      </c>
      <c r="D2">
        <v>3.5113637810048101E-2</v>
      </c>
      <c r="E2">
        <v>1.6418604651162801E-2</v>
      </c>
      <c r="F2">
        <v>1.50883720930233E-2</v>
      </c>
      <c r="G2">
        <v>1.6744186046511601E-3</v>
      </c>
      <c r="H2">
        <v>7.2652732019529306E-2</v>
      </c>
      <c r="I2">
        <v>1.2999999999999999E-3</v>
      </c>
      <c r="J2">
        <v>1</v>
      </c>
      <c r="K2">
        <v>1</v>
      </c>
      <c r="L2">
        <v>1</v>
      </c>
      <c r="M2">
        <v>-5.4085729788388603E-2</v>
      </c>
      <c r="N2">
        <v>-1.7356406480117902E-2</v>
      </c>
      <c r="O2">
        <v>1</v>
      </c>
      <c r="P2">
        <v>0.19</v>
      </c>
      <c r="Q2">
        <v>1</v>
      </c>
      <c r="R2">
        <v>0.14000000000000001</v>
      </c>
      <c r="S2">
        <v>1</v>
      </c>
      <c r="T2">
        <v>1</v>
      </c>
    </row>
    <row r="3" spans="1:20" x14ac:dyDescent="0.25">
      <c r="A3">
        <v>3</v>
      </c>
      <c r="B3">
        <v>2027</v>
      </c>
      <c r="C3">
        <v>4.7473531946636498E-2</v>
      </c>
      <c r="D3">
        <v>6.7199705815453301E-2</v>
      </c>
      <c r="E3">
        <v>2.16791628677462E-2</v>
      </c>
      <c r="F3">
        <v>1.9039511704955499E-2</v>
      </c>
      <c r="G3">
        <v>4.2296511627907003E-3</v>
      </c>
      <c r="H3">
        <v>0.146585712840962</v>
      </c>
      <c r="I3">
        <v>3.1663721700717698E-3</v>
      </c>
      <c r="J3">
        <v>1</v>
      </c>
      <c r="K3">
        <v>1</v>
      </c>
      <c r="L3">
        <v>1</v>
      </c>
      <c r="M3">
        <v>-5.4085729788388603E-2</v>
      </c>
      <c r="N3">
        <v>-1.7356406480117902E-2</v>
      </c>
      <c r="O3">
        <v>1</v>
      </c>
      <c r="P3">
        <v>0.19</v>
      </c>
      <c r="Q3">
        <v>1</v>
      </c>
      <c r="R3">
        <v>0.14000000000000001</v>
      </c>
      <c r="S3">
        <v>1</v>
      </c>
      <c r="T3">
        <v>1</v>
      </c>
    </row>
    <row r="4" spans="1:20" x14ac:dyDescent="0.25">
      <c r="A4">
        <v>4</v>
      </c>
      <c r="B4">
        <v>2028</v>
      </c>
      <c r="C4">
        <v>7.4148222400599303E-2</v>
      </c>
      <c r="D4">
        <v>0.102964577550523</v>
      </c>
      <c r="E4">
        <v>2.8762581446714501E-2</v>
      </c>
      <c r="F4">
        <v>2.4832244237412201E-2</v>
      </c>
      <c r="G4">
        <v>6.3218023255813896E-3</v>
      </c>
      <c r="H4">
        <v>0.22054822436489999</v>
      </c>
      <c r="I4">
        <v>5.1978464936499299E-3</v>
      </c>
      <c r="J4">
        <v>1</v>
      </c>
      <c r="K4">
        <v>1</v>
      </c>
      <c r="L4">
        <v>1</v>
      </c>
      <c r="M4">
        <v>-5.4085729788388603E-2</v>
      </c>
      <c r="N4">
        <v>-1.7356406480117902E-2</v>
      </c>
      <c r="O4">
        <v>1</v>
      </c>
      <c r="P4">
        <v>0.19</v>
      </c>
      <c r="Q4">
        <v>1</v>
      </c>
      <c r="R4">
        <v>0.14000000000000001</v>
      </c>
      <c r="S4">
        <v>1</v>
      </c>
      <c r="T4">
        <v>1</v>
      </c>
    </row>
    <row r="5" spans="1:20" x14ac:dyDescent="0.25">
      <c r="A5">
        <v>5</v>
      </c>
      <c r="B5">
        <v>2029</v>
      </c>
      <c r="C5">
        <v>0.118931808260049</v>
      </c>
      <c r="D5">
        <v>0.15406451388407799</v>
      </c>
      <c r="E5">
        <v>4.35501303982124E-2</v>
      </c>
      <c r="F5">
        <v>3.8345966444724197E-2</v>
      </c>
      <c r="G5">
        <v>7.9971802325581407E-3</v>
      </c>
      <c r="H5">
        <v>0.29454017307725699</v>
      </c>
      <c r="I5">
        <v>1.32928768636114E-2</v>
      </c>
      <c r="J5">
        <v>1</v>
      </c>
      <c r="K5">
        <v>1</v>
      </c>
      <c r="L5">
        <v>1</v>
      </c>
      <c r="M5">
        <v>-5.4085729788388603E-2</v>
      </c>
      <c r="N5">
        <v>-1.7356406480117902E-2</v>
      </c>
      <c r="O5">
        <v>1</v>
      </c>
      <c r="P5">
        <v>0.19</v>
      </c>
      <c r="Q5">
        <v>1</v>
      </c>
      <c r="R5">
        <v>0.14000000000000001</v>
      </c>
      <c r="S5">
        <v>1</v>
      </c>
      <c r="T5">
        <v>1</v>
      </c>
    </row>
    <row r="6" spans="1:20" x14ac:dyDescent="0.25">
      <c r="A6">
        <v>6</v>
      </c>
      <c r="B6">
        <v>2030</v>
      </c>
      <c r="C6">
        <v>0.18972880705685</v>
      </c>
      <c r="D6">
        <v>0.22699757046494201</v>
      </c>
      <c r="E6">
        <v>6.9609994144954002E-2</v>
      </c>
      <c r="F6">
        <v>6.3147176819372597E-2</v>
      </c>
      <c r="G6">
        <v>9.2974622093023197E-3</v>
      </c>
      <c r="H6">
        <v>0.36856283117011401</v>
      </c>
      <c r="I6">
        <v>2.57265046935394E-2</v>
      </c>
      <c r="J6">
        <v>1</v>
      </c>
      <c r="K6">
        <v>1</v>
      </c>
      <c r="L6">
        <v>1</v>
      </c>
      <c r="M6">
        <v>-5.4085729788388603E-2</v>
      </c>
      <c r="N6">
        <v>-1.7356406480117902E-2</v>
      </c>
      <c r="O6">
        <v>1</v>
      </c>
      <c r="P6">
        <v>0.19</v>
      </c>
      <c r="Q6">
        <v>1</v>
      </c>
      <c r="R6">
        <v>0.14000000000000001</v>
      </c>
      <c r="S6">
        <v>1</v>
      </c>
      <c r="T6">
        <v>1</v>
      </c>
    </row>
    <row r="7" spans="1:20" x14ac:dyDescent="0.25">
      <c r="A7">
        <v>7</v>
      </c>
      <c r="B7">
        <v>2031</v>
      </c>
      <c r="C7">
        <v>0.19959145630936201</v>
      </c>
      <c r="D7">
        <v>0.24437684248057501</v>
      </c>
      <c r="E7">
        <v>7.6261210703509705E-2</v>
      </c>
      <c r="F7">
        <v>6.9342134677360903E-2</v>
      </c>
      <c r="G7">
        <v>1.0307250872093001E-2</v>
      </c>
      <c r="H7">
        <v>0.440443359090614</v>
      </c>
      <c r="I7">
        <v>1.0399210423646501E-2</v>
      </c>
      <c r="J7">
        <v>1</v>
      </c>
      <c r="K7">
        <v>1</v>
      </c>
      <c r="L7">
        <v>1</v>
      </c>
      <c r="M7">
        <v>-5.4085729788388603E-2</v>
      </c>
      <c r="N7">
        <v>-1.7356406480117902E-2</v>
      </c>
      <c r="O7">
        <v>1</v>
      </c>
      <c r="P7">
        <v>0.19</v>
      </c>
      <c r="Q7">
        <v>1</v>
      </c>
      <c r="R7">
        <v>0.14000000000000001</v>
      </c>
      <c r="S7">
        <v>1</v>
      </c>
      <c r="T7">
        <v>1</v>
      </c>
    </row>
    <row r="8" spans="1:20" x14ac:dyDescent="0.25">
      <c r="A8">
        <v>8</v>
      </c>
      <c r="B8">
        <v>2032</v>
      </c>
      <c r="C8">
        <v>0.20872240989502999</v>
      </c>
      <c r="D8">
        <v>0.26130757849943198</v>
      </c>
      <c r="E8">
        <v>8.2820761188340905E-2</v>
      </c>
      <c r="F8">
        <v>7.5595042722628306E-2</v>
      </c>
      <c r="G8">
        <v>1.1155595552325599E-2</v>
      </c>
      <c r="H8">
        <v>0.51237588189466099</v>
      </c>
      <c r="I8">
        <v>1.0975493606026799E-2</v>
      </c>
      <c r="J8">
        <v>1</v>
      </c>
      <c r="K8">
        <v>1</v>
      </c>
      <c r="L8">
        <v>1</v>
      </c>
      <c r="M8">
        <v>-5.4085729788388603E-2</v>
      </c>
      <c r="N8">
        <v>-1.7356406480117902E-2</v>
      </c>
      <c r="O8">
        <v>1</v>
      </c>
      <c r="P8">
        <v>0.19</v>
      </c>
      <c r="Q8">
        <v>1</v>
      </c>
      <c r="R8">
        <v>0.14000000000000001</v>
      </c>
      <c r="S8">
        <v>1</v>
      </c>
      <c r="T8">
        <v>1</v>
      </c>
    </row>
    <row r="9" spans="1:20" x14ac:dyDescent="0.25">
      <c r="A9">
        <v>9</v>
      </c>
      <c r="B9">
        <v>2033</v>
      </c>
      <c r="C9">
        <v>0.217169492176989</v>
      </c>
      <c r="D9">
        <v>0.27780412182728198</v>
      </c>
      <c r="E9">
        <v>8.9291343307587603E-2</v>
      </c>
      <c r="F9">
        <v>8.1906480085290806E-2</v>
      </c>
      <c r="G9">
        <v>1.18586406482558E-2</v>
      </c>
      <c r="H9">
        <v>0.58436234415791799</v>
      </c>
      <c r="I9">
        <v>1.15581509372509E-2</v>
      </c>
      <c r="J9">
        <v>1</v>
      </c>
      <c r="K9">
        <v>1</v>
      </c>
      <c r="L9">
        <v>1</v>
      </c>
      <c r="M9">
        <v>-5.4085729788388603E-2</v>
      </c>
      <c r="N9">
        <v>-1.7356406480117902E-2</v>
      </c>
      <c r="O9">
        <v>1</v>
      </c>
      <c r="P9">
        <v>0.19</v>
      </c>
      <c r="Q9">
        <v>1</v>
      </c>
      <c r="R9">
        <v>0.14000000000000001</v>
      </c>
      <c r="S9">
        <v>1</v>
      </c>
      <c r="T9">
        <v>1</v>
      </c>
    </row>
    <row r="10" spans="1:20" x14ac:dyDescent="0.25">
      <c r="A10">
        <v>10</v>
      </c>
      <c r="B10">
        <v>2034</v>
      </c>
      <c r="C10">
        <v>0.22497923666845901</v>
      </c>
      <c r="D10">
        <v>0.293881030094228</v>
      </c>
      <c r="E10">
        <v>9.56753849985746E-2</v>
      </c>
      <c r="F10">
        <v>8.82769679824537E-2</v>
      </c>
      <c r="G10">
        <v>1.2430916118313999E-2</v>
      </c>
      <c r="H10">
        <v>0.65640168456761705</v>
      </c>
      <c r="I10">
        <v>1.21471824173198E-2</v>
      </c>
      <c r="J10">
        <v>1</v>
      </c>
      <c r="K10">
        <v>1</v>
      </c>
      <c r="L10">
        <v>1</v>
      </c>
      <c r="M10">
        <v>-5.4085729788388603E-2</v>
      </c>
      <c r="N10">
        <v>-1.7356406480117902E-2</v>
      </c>
      <c r="O10">
        <v>1</v>
      </c>
      <c r="P10">
        <v>0.19</v>
      </c>
      <c r="Q10">
        <v>1</v>
      </c>
      <c r="R10">
        <v>0.14000000000000001</v>
      </c>
      <c r="S10">
        <v>1</v>
      </c>
      <c r="T10">
        <v>1</v>
      </c>
    </row>
    <row r="11" spans="1:20" x14ac:dyDescent="0.25">
      <c r="A11">
        <v>11</v>
      </c>
      <c r="B11">
        <v>2035</v>
      </c>
      <c r="C11">
        <v>0.232196717742505</v>
      </c>
      <c r="D11">
        <v>0.30955301482863801</v>
      </c>
      <c r="E11">
        <v>0.10197507140489601</v>
      </c>
      <c r="F11">
        <v>9.4706975509510405E-2</v>
      </c>
      <c r="G11">
        <v>1.28854989250872E-2</v>
      </c>
      <c r="H11">
        <v>0.72849439176615105</v>
      </c>
      <c r="I11">
        <v>1.27425880462323E-2</v>
      </c>
      <c r="J11">
        <v>1</v>
      </c>
      <c r="K11">
        <v>1</v>
      </c>
      <c r="L11">
        <v>1</v>
      </c>
      <c r="M11">
        <v>-5.4085729788388603E-2</v>
      </c>
      <c r="N11">
        <v>-1.7356406480117902E-2</v>
      </c>
      <c r="O11">
        <v>1</v>
      </c>
      <c r="P11">
        <v>0.19</v>
      </c>
      <c r="Q11">
        <v>1</v>
      </c>
      <c r="R11">
        <v>0.14000000000000001</v>
      </c>
      <c r="S11">
        <v>1</v>
      </c>
      <c r="T11">
        <v>1</v>
      </c>
    </row>
    <row r="12" spans="1:20" x14ac:dyDescent="0.25">
      <c r="A12">
        <v>12</v>
      </c>
      <c r="B12">
        <v>2036</v>
      </c>
      <c r="C12">
        <v>0.24879601161759901</v>
      </c>
      <c r="D12">
        <v>0.33417771859324702</v>
      </c>
      <c r="E12">
        <v>0.11323118814550701</v>
      </c>
      <c r="F12">
        <v>0.10666291681898001</v>
      </c>
      <c r="G12">
        <v>1.32341583349041E-2</v>
      </c>
      <c r="H12">
        <v>0.80064060954007099</v>
      </c>
      <c r="I12">
        <v>1.8810359790653E-2</v>
      </c>
      <c r="J12">
        <v>1</v>
      </c>
      <c r="K12">
        <v>1</v>
      </c>
      <c r="L12">
        <v>1</v>
      </c>
      <c r="M12">
        <v>-5.4085729788388603E-2</v>
      </c>
      <c r="N12">
        <v>-1.7356406480117902E-2</v>
      </c>
      <c r="O12">
        <v>1</v>
      </c>
      <c r="P12">
        <v>0.19</v>
      </c>
      <c r="Q12">
        <v>1</v>
      </c>
      <c r="R12">
        <v>0.14000000000000001</v>
      </c>
      <c r="S12">
        <v>1</v>
      </c>
      <c r="T12">
        <v>1</v>
      </c>
    </row>
    <row r="13" spans="1:20" x14ac:dyDescent="0.25">
      <c r="A13">
        <v>13</v>
      </c>
      <c r="B13">
        <v>2037</v>
      </c>
      <c r="C13">
        <v>0.26407974771648302</v>
      </c>
      <c r="D13">
        <v>0.35800394062324598</v>
      </c>
      <c r="E13">
        <v>0.12433496545162399</v>
      </c>
      <c r="F13">
        <v>0.118749850158408</v>
      </c>
      <c r="G13">
        <v>1.34874866874602E-2</v>
      </c>
      <c r="H13">
        <v>0.87284056423052403</v>
      </c>
      <c r="I13">
        <v>2.0035783160861201E-2</v>
      </c>
      <c r="J13">
        <v>1</v>
      </c>
      <c r="K13">
        <v>1</v>
      </c>
      <c r="L13">
        <v>1</v>
      </c>
      <c r="M13">
        <v>-5.4085729788388603E-2</v>
      </c>
      <c r="N13">
        <v>-1.7356406480117902E-2</v>
      </c>
      <c r="O13">
        <v>1</v>
      </c>
      <c r="P13">
        <v>0.19</v>
      </c>
      <c r="Q13">
        <v>1</v>
      </c>
      <c r="R13">
        <v>0.14000000000000001</v>
      </c>
      <c r="S13">
        <v>1</v>
      </c>
      <c r="T13">
        <v>1</v>
      </c>
    </row>
    <row r="14" spans="1:20" x14ac:dyDescent="0.25">
      <c r="A14">
        <v>14</v>
      </c>
      <c r="B14">
        <v>2038</v>
      </c>
      <c r="C14">
        <v>0.278111614972754</v>
      </c>
      <c r="D14">
        <v>0.38104360927605402</v>
      </c>
      <c r="E14">
        <v>0.13528799629292401</v>
      </c>
      <c r="F14">
        <v>0.130968117498338</v>
      </c>
      <c r="G14">
        <v>1.3655017088481601E-2</v>
      </c>
      <c r="H14">
        <v>0.94509391589260705</v>
      </c>
      <c r="I14">
        <v>2.1274647704607599E-2</v>
      </c>
      <c r="J14">
        <v>1</v>
      </c>
      <c r="K14">
        <v>1</v>
      </c>
      <c r="L14">
        <v>1</v>
      </c>
      <c r="M14">
        <v>-5.4085729788388603E-2</v>
      </c>
      <c r="N14">
        <v>-1.7356406480117902E-2</v>
      </c>
      <c r="O14">
        <v>1</v>
      </c>
      <c r="P14">
        <v>0.19</v>
      </c>
      <c r="Q14">
        <v>1</v>
      </c>
      <c r="R14">
        <v>0.14000000000000001</v>
      </c>
      <c r="S14">
        <v>1</v>
      </c>
      <c r="T14">
        <v>1</v>
      </c>
    </row>
    <row r="15" spans="1:20" x14ac:dyDescent="0.25">
      <c r="A15">
        <v>15</v>
      </c>
      <c r="B15">
        <v>2039</v>
      </c>
      <c r="C15">
        <v>0.29095688272655001</v>
      </c>
      <c r="D15">
        <v>0.40331033301438901</v>
      </c>
      <c r="E15">
        <v>0.14609171434212001</v>
      </c>
      <c r="F15">
        <v>0.14331802661225601</v>
      </c>
      <c r="G15">
        <v>1.37453293331218E-2</v>
      </c>
      <c r="H15">
        <v>1.0174008008481901</v>
      </c>
      <c r="I15">
        <v>2.2526953421891999E-2</v>
      </c>
      <c r="J15">
        <v>1</v>
      </c>
      <c r="K15">
        <v>1</v>
      </c>
      <c r="L15">
        <v>1</v>
      </c>
      <c r="M15">
        <v>-5.4085729788388603E-2</v>
      </c>
      <c r="N15">
        <v>-1.7356406480117902E-2</v>
      </c>
      <c r="O15">
        <v>1</v>
      </c>
      <c r="P15">
        <v>0.19</v>
      </c>
      <c r="Q15">
        <v>1</v>
      </c>
      <c r="R15">
        <v>0.14000000000000001</v>
      </c>
      <c r="S15">
        <v>1</v>
      </c>
      <c r="T15">
        <v>1</v>
      </c>
    </row>
    <row r="16" spans="1:20" x14ac:dyDescent="0.25">
      <c r="A16">
        <v>16</v>
      </c>
      <c r="B16">
        <v>2040</v>
      </c>
      <c r="C16">
        <v>0.30268174614797499</v>
      </c>
      <c r="D16">
        <v>0.42481928667098101</v>
      </c>
      <c r="E16">
        <v>0.156747409904652</v>
      </c>
      <c r="F16">
        <v>0.15579985449630401</v>
      </c>
      <c r="G16">
        <v>1.37661452370189E-2</v>
      </c>
      <c r="H16">
        <v>1.08976203377611</v>
      </c>
      <c r="I16">
        <v>2.3792700312714899E-2</v>
      </c>
      <c r="J16">
        <v>1</v>
      </c>
      <c r="K16">
        <v>1</v>
      </c>
      <c r="L16">
        <v>1</v>
      </c>
      <c r="M16">
        <v>-5.4085729788388603E-2</v>
      </c>
      <c r="N16">
        <v>-1.7356406480117902E-2</v>
      </c>
      <c r="O16">
        <v>1</v>
      </c>
      <c r="P16">
        <v>0.19</v>
      </c>
      <c r="Q16">
        <v>1</v>
      </c>
      <c r="R16">
        <v>0.14000000000000001</v>
      </c>
      <c r="S16">
        <v>1</v>
      </c>
      <c r="T16">
        <v>1</v>
      </c>
    </row>
    <row r="17" spans="1:20" x14ac:dyDescent="0.25">
      <c r="A17">
        <v>17</v>
      </c>
      <c r="B17">
        <v>2041</v>
      </c>
      <c r="C17">
        <v>0.314378347668057</v>
      </c>
      <c r="D17">
        <v>0.44701412007840102</v>
      </c>
      <c r="E17">
        <v>0.168253282699938</v>
      </c>
      <c r="F17">
        <v>0.16957380494591101</v>
      </c>
      <c r="G17">
        <v>1.4440693504014701E-2</v>
      </c>
      <c r="H17">
        <v>1.16124521249538</v>
      </c>
      <c r="I17">
        <v>2.6232307992260701E-2</v>
      </c>
      <c r="J17">
        <v>1</v>
      </c>
      <c r="K17">
        <v>1</v>
      </c>
      <c r="L17">
        <v>1</v>
      </c>
      <c r="M17">
        <v>-5.4085729788388603E-2</v>
      </c>
      <c r="N17">
        <v>-1.7356406480117902E-2</v>
      </c>
      <c r="O17">
        <v>1</v>
      </c>
      <c r="P17">
        <v>0.19</v>
      </c>
      <c r="Q17">
        <v>1</v>
      </c>
      <c r="R17">
        <v>0.14000000000000001</v>
      </c>
      <c r="S17">
        <v>1</v>
      </c>
      <c r="T17">
        <v>1</v>
      </c>
    </row>
    <row r="18" spans="1:20" x14ac:dyDescent="0.25">
      <c r="A18">
        <v>18</v>
      </c>
      <c r="B18">
        <v>2042</v>
      </c>
      <c r="C18">
        <v>0.32494613008898099</v>
      </c>
      <c r="D18">
        <v>0.46841004387162599</v>
      </c>
      <c r="E18">
        <v>0.17959649697243099</v>
      </c>
      <c r="F18">
        <v>0.183494262623631</v>
      </c>
      <c r="G18">
        <v>1.50059264791946E-2</v>
      </c>
      <c r="H18">
        <v>1.23278881698118</v>
      </c>
      <c r="I18">
        <v>2.76555125909154E-2</v>
      </c>
      <c r="J18">
        <v>1</v>
      </c>
      <c r="K18">
        <v>1</v>
      </c>
      <c r="L18">
        <v>1</v>
      </c>
      <c r="M18">
        <v>-5.4085729788388603E-2</v>
      </c>
      <c r="N18">
        <v>-1.7356406480117902E-2</v>
      </c>
      <c r="O18">
        <v>1</v>
      </c>
      <c r="P18">
        <v>0.19</v>
      </c>
      <c r="Q18">
        <v>1</v>
      </c>
      <c r="R18">
        <v>0.14000000000000001</v>
      </c>
      <c r="S18">
        <v>1</v>
      </c>
      <c r="T18">
        <v>1</v>
      </c>
    </row>
    <row r="19" spans="1:20" x14ac:dyDescent="0.25">
      <c r="A19">
        <v>19</v>
      </c>
      <c r="B19">
        <v>2043</v>
      </c>
      <c r="C19">
        <v>0.33445428502945501</v>
      </c>
      <c r="D19">
        <v>0.48902455341801399</v>
      </c>
      <c r="E19">
        <v>0.190778202657123</v>
      </c>
      <c r="F19">
        <v>0.19756147132011301</v>
      </c>
      <c r="G19">
        <v>1.54727756917403E-2</v>
      </c>
      <c r="H19">
        <v>1.30439195815953</v>
      </c>
      <c r="I19">
        <v>2.9093611703031898E-2</v>
      </c>
      <c r="J19">
        <v>1</v>
      </c>
      <c r="K19">
        <v>1</v>
      </c>
      <c r="L19">
        <v>1</v>
      </c>
      <c r="M19">
        <v>-5.4085729788388603E-2</v>
      </c>
      <c r="N19">
        <v>-1.7356406480117902E-2</v>
      </c>
      <c r="O19">
        <v>1</v>
      </c>
      <c r="P19">
        <v>0.19</v>
      </c>
      <c r="Q19">
        <v>1</v>
      </c>
      <c r="R19">
        <v>0.14000000000000001</v>
      </c>
      <c r="S19">
        <v>1</v>
      </c>
      <c r="T19">
        <v>1</v>
      </c>
    </row>
    <row r="20" spans="1:20" x14ac:dyDescent="0.25">
      <c r="A20">
        <v>20</v>
      </c>
      <c r="B20">
        <v>2044</v>
      </c>
      <c r="C20">
        <v>0.34297157823989299</v>
      </c>
      <c r="D20">
        <v>0.50887661305596799</v>
      </c>
      <c r="E20">
        <v>0.20179943469550701</v>
      </c>
      <c r="F20">
        <v>0.21177565044694499</v>
      </c>
      <c r="G20">
        <v>1.58510795179151E-2</v>
      </c>
      <c r="H20">
        <v>1.3760554514268499</v>
      </c>
      <c r="I20">
        <v>3.0546605328610602E-2</v>
      </c>
      <c r="J20">
        <v>1</v>
      </c>
      <c r="K20">
        <v>1</v>
      </c>
      <c r="L20">
        <v>1</v>
      </c>
      <c r="M20">
        <v>-5.4085729788388603E-2</v>
      </c>
      <c r="N20">
        <v>-1.7356406480117902E-2</v>
      </c>
      <c r="O20">
        <v>1</v>
      </c>
      <c r="P20">
        <v>0.19</v>
      </c>
      <c r="Q20">
        <v>1</v>
      </c>
      <c r="R20">
        <v>0.14000000000000001</v>
      </c>
      <c r="S20">
        <v>1</v>
      </c>
      <c r="T20">
        <v>1</v>
      </c>
    </row>
    <row r="21" spans="1:20" x14ac:dyDescent="0.25">
      <c r="A21">
        <v>21</v>
      </c>
      <c r="B21">
        <v>2045</v>
      </c>
      <c r="C21">
        <v>0.35056583680147302</v>
      </c>
      <c r="D21">
        <v>0.52798650801626301</v>
      </c>
      <c r="E21">
        <v>0.212661124534925</v>
      </c>
      <c r="F21">
        <v>0.22613699747455299</v>
      </c>
      <c r="G21">
        <v>1.6149692496356199E-2</v>
      </c>
      <c r="H21">
        <v>1.4477785228378099</v>
      </c>
      <c r="I21">
        <v>3.2014493467651103E-2</v>
      </c>
      <c r="J21">
        <v>1</v>
      </c>
      <c r="K21">
        <v>1</v>
      </c>
      <c r="L21">
        <v>1</v>
      </c>
      <c r="M21">
        <v>-5.4085729788388603E-2</v>
      </c>
      <c r="N21">
        <v>-1.7356406480117902E-2</v>
      </c>
      <c r="O21">
        <v>1</v>
      </c>
      <c r="P21">
        <v>0.19</v>
      </c>
      <c r="Q21">
        <v>1</v>
      </c>
      <c r="R21">
        <v>0.14000000000000001</v>
      </c>
      <c r="S21">
        <v>1</v>
      </c>
      <c r="T21">
        <v>1</v>
      </c>
    </row>
    <row r="22" spans="1:20" x14ac:dyDescent="0.25">
      <c r="A22">
        <v>22</v>
      </c>
      <c r="B22">
        <v>2046</v>
      </c>
      <c r="C22">
        <v>0.34743457692054103</v>
      </c>
      <c r="D22">
        <v>0.53502156906192</v>
      </c>
      <c r="E22">
        <v>0.21633023138034699</v>
      </c>
      <c r="F22">
        <v>0.23189981964661799</v>
      </c>
      <c r="G22">
        <v>1.6376583711836801E-2</v>
      </c>
      <c r="H22">
        <v>1.5195616168633399</v>
      </c>
      <c r="I22">
        <v>2.4751405640450998E-2</v>
      </c>
      <c r="J22">
        <v>1</v>
      </c>
      <c r="K22">
        <v>1</v>
      </c>
      <c r="L22">
        <v>1</v>
      </c>
      <c r="M22">
        <v>-5.4085729788388603E-2</v>
      </c>
      <c r="N22">
        <v>-1.7356406480117902E-2</v>
      </c>
      <c r="O22">
        <v>1</v>
      </c>
      <c r="P22">
        <v>0.19</v>
      </c>
      <c r="Q22">
        <v>1</v>
      </c>
      <c r="R22">
        <v>0.14000000000000001</v>
      </c>
      <c r="S22">
        <v>1</v>
      </c>
      <c r="T22">
        <v>1</v>
      </c>
    </row>
    <row r="23" spans="1:20" x14ac:dyDescent="0.25">
      <c r="A23">
        <v>23</v>
      </c>
      <c r="B23">
        <v>2047</v>
      </c>
      <c r="C23">
        <v>0.34449081675425502</v>
      </c>
      <c r="D23">
        <v>0.54203455608453799</v>
      </c>
      <c r="E23">
        <v>0.21994917765834399</v>
      </c>
      <c r="F23">
        <v>0.237703937327715</v>
      </c>
      <c r="G23">
        <v>1.6538925340653099E-2</v>
      </c>
      <c r="H23">
        <v>1.59140452106063</v>
      </c>
      <c r="I23">
        <v>2.5268285692270499E-2</v>
      </c>
      <c r="J23">
        <v>1</v>
      </c>
      <c r="K23">
        <v>1</v>
      </c>
      <c r="L23">
        <v>1</v>
      </c>
      <c r="M23">
        <v>-5.4085729788388603E-2</v>
      </c>
      <c r="N23">
        <v>-1.7356406480117902E-2</v>
      </c>
      <c r="O23">
        <v>1</v>
      </c>
      <c r="P23">
        <v>0.19</v>
      </c>
      <c r="Q23">
        <v>1</v>
      </c>
      <c r="R23">
        <v>0.14000000000000001</v>
      </c>
      <c r="S23">
        <v>1</v>
      </c>
      <c r="T23">
        <v>1</v>
      </c>
    </row>
    <row r="24" spans="1:20" x14ac:dyDescent="0.25">
      <c r="A24">
        <v>24</v>
      </c>
      <c r="B24">
        <v>2048</v>
      </c>
      <c r="C24">
        <v>0.34173386574757397</v>
      </c>
      <c r="D24">
        <v>0.54903173633765601</v>
      </c>
      <c r="E24">
        <v>0.22351864239402799</v>
      </c>
      <c r="F24">
        <v>0.24354949447378499</v>
      </c>
      <c r="G24">
        <v>1.6643172341471502E-2</v>
      </c>
      <c r="H24">
        <v>1.6633073381441199</v>
      </c>
      <c r="I24">
        <v>2.57894392509345E-2</v>
      </c>
      <c r="J24">
        <v>1</v>
      </c>
      <c r="K24">
        <v>1</v>
      </c>
      <c r="L24">
        <v>1</v>
      </c>
      <c r="M24">
        <v>-5.4085729788388603E-2</v>
      </c>
      <c r="N24">
        <v>-1.7356406480117902E-2</v>
      </c>
      <c r="O24">
        <v>1</v>
      </c>
      <c r="P24">
        <v>0.19</v>
      </c>
      <c r="Q24">
        <v>1</v>
      </c>
      <c r="R24">
        <v>0.14000000000000001</v>
      </c>
      <c r="S24">
        <v>1</v>
      </c>
      <c r="T24">
        <v>1</v>
      </c>
    </row>
    <row r="25" spans="1:20" x14ac:dyDescent="0.25">
      <c r="A25">
        <v>25</v>
      </c>
      <c r="B25">
        <v>2049</v>
      </c>
      <c r="C25">
        <v>0.33916258972257501</v>
      </c>
      <c r="D25">
        <v>0.55601897918417698</v>
      </c>
      <c r="E25">
        <v>0.22703923671000101</v>
      </c>
      <c r="F25">
        <v>0.24943662064517499</v>
      </c>
      <c r="G25">
        <v>1.66951341770918E-2</v>
      </c>
      <c r="H25">
        <v>1.7352698416418899</v>
      </c>
      <c r="I25">
        <v>2.63148663164425E-2</v>
      </c>
      <c r="J25">
        <v>1</v>
      </c>
      <c r="K25">
        <v>1</v>
      </c>
      <c r="L25">
        <v>1</v>
      </c>
      <c r="M25">
        <v>-5.4085729788388603E-2</v>
      </c>
      <c r="N25">
        <v>-1.7356406480117902E-2</v>
      </c>
      <c r="O25">
        <v>1</v>
      </c>
      <c r="P25">
        <v>0.19</v>
      </c>
      <c r="Q25">
        <v>1</v>
      </c>
      <c r="R25">
        <v>0.14000000000000001</v>
      </c>
      <c r="S25">
        <v>1</v>
      </c>
      <c r="T25">
        <v>1</v>
      </c>
    </row>
    <row r="26" spans="1:20" x14ac:dyDescent="0.25">
      <c r="A26">
        <v>26</v>
      </c>
      <c r="B26">
        <v>2050</v>
      </c>
      <c r="C26">
        <v>0.33677546608268599</v>
      </c>
      <c r="D26">
        <v>0.56300177297519804</v>
      </c>
      <c r="E26">
        <v>0.23051151061660499</v>
      </c>
      <c r="F26">
        <v>0.25536543244619703</v>
      </c>
      <c r="G26">
        <v>1.6700039364033799E-2</v>
      </c>
      <c r="H26">
        <v>1.80729186459692</v>
      </c>
      <c r="I26">
        <v>2.68445668887951E-2</v>
      </c>
      <c r="J26">
        <v>1</v>
      </c>
      <c r="K26">
        <v>1</v>
      </c>
      <c r="L26">
        <v>1</v>
      </c>
      <c r="M26">
        <v>-5.4085729788388603E-2</v>
      </c>
      <c r="N26">
        <v>-1.7356406480117902E-2</v>
      </c>
      <c r="O26">
        <v>1</v>
      </c>
      <c r="P26">
        <v>0.19</v>
      </c>
      <c r="Q26">
        <v>1</v>
      </c>
      <c r="R26">
        <v>0.14000000000000001</v>
      </c>
      <c r="S26">
        <v>1</v>
      </c>
      <c r="T26">
        <v>1</v>
      </c>
    </row>
    <row r="27" spans="1:20" x14ac:dyDescent="0.25">
      <c r="A27">
        <v>27</v>
      </c>
      <c r="B27">
        <v>2051</v>
      </c>
      <c r="C27">
        <v>0.33643657404006699</v>
      </c>
      <c r="D27">
        <v>0.56652431353207</v>
      </c>
      <c r="E27">
        <v>0.23202718776586001</v>
      </c>
      <c r="F27">
        <v>0.25625230499359902</v>
      </c>
      <c r="G27">
        <v>1.50300354276304E-2</v>
      </c>
      <c r="H27">
        <v>1.8111042717890899</v>
      </c>
      <c r="I27">
        <v>2.2423415792021801E-2</v>
      </c>
      <c r="J27">
        <v>1</v>
      </c>
      <c r="K27">
        <v>1</v>
      </c>
      <c r="L27">
        <v>1</v>
      </c>
      <c r="M27">
        <v>-5.4085729788388603E-2</v>
      </c>
      <c r="N27">
        <v>-1.7356406480117902E-2</v>
      </c>
      <c r="O27">
        <v>1</v>
      </c>
      <c r="P27">
        <v>0.19</v>
      </c>
      <c r="Q27">
        <v>1</v>
      </c>
      <c r="R27">
        <v>0.14000000000000001</v>
      </c>
      <c r="S27">
        <v>1</v>
      </c>
      <c r="T27">
        <v>1</v>
      </c>
    </row>
    <row r="28" spans="1:20" x14ac:dyDescent="0.25">
      <c r="A28">
        <v>28</v>
      </c>
      <c r="B28">
        <v>2052</v>
      </c>
      <c r="C28">
        <v>0.33643657404006699</v>
      </c>
      <c r="D28">
        <v>0.56652431353207</v>
      </c>
      <c r="E28">
        <v>0.23202718776586001</v>
      </c>
      <c r="F28">
        <v>0.25625230499359902</v>
      </c>
      <c r="G28">
        <v>1.50300354276304E-2</v>
      </c>
      <c r="H28">
        <v>1.8111042717890899</v>
      </c>
      <c r="I28">
        <v>2.2423415792021801E-2</v>
      </c>
      <c r="J28">
        <v>1</v>
      </c>
      <c r="K28">
        <v>1</v>
      </c>
      <c r="L28">
        <v>1</v>
      </c>
      <c r="M28">
        <v>-5.4085729788388603E-2</v>
      </c>
      <c r="N28">
        <v>-1.7356406480117902E-2</v>
      </c>
      <c r="O28">
        <v>0</v>
      </c>
      <c r="P28">
        <v>0.19</v>
      </c>
      <c r="Q28">
        <v>0</v>
      </c>
      <c r="R28">
        <v>0.14000000000000001</v>
      </c>
      <c r="S28">
        <v>1</v>
      </c>
      <c r="T28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59BF-9763-451E-A4CD-9FD9ECB901DB}">
  <dimension ref="A1:C26"/>
  <sheetViews>
    <sheetView workbookViewId="0"/>
  </sheetViews>
  <sheetFormatPr defaultRowHeight="15" x14ac:dyDescent="0.25"/>
  <sheetData>
    <row r="1" spans="1:3" x14ac:dyDescent="0.25">
      <c r="A1" t="s">
        <v>5</v>
      </c>
      <c r="B1" t="s">
        <v>154</v>
      </c>
      <c r="C1" t="s">
        <v>7</v>
      </c>
    </row>
    <row r="2" spans="1:3" x14ac:dyDescent="0.25">
      <c r="A2">
        <f>[1]Baseline!A2</f>
        <v>2</v>
      </c>
      <c r="B2">
        <v>1</v>
      </c>
      <c r="C2">
        <v>1</v>
      </c>
    </row>
    <row r="3" spans="1:3" x14ac:dyDescent="0.25">
      <c r="A3">
        <f>[1]Baseline!A3</f>
        <v>3</v>
      </c>
      <c r="B3">
        <v>1</v>
      </c>
      <c r="C3">
        <v>1</v>
      </c>
    </row>
    <row r="4" spans="1:3" x14ac:dyDescent="0.25">
      <c r="A4">
        <f>[1]Baseline!A4</f>
        <v>4</v>
      </c>
      <c r="B4">
        <v>1</v>
      </c>
      <c r="C4">
        <v>1</v>
      </c>
    </row>
    <row r="5" spans="1:3" x14ac:dyDescent="0.25">
      <c r="A5">
        <f>[1]Baseline!A5</f>
        <v>5</v>
      </c>
      <c r="B5">
        <v>1</v>
      </c>
      <c r="C5">
        <v>1</v>
      </c>
    </row>
    <row r="6" spans="1:3" x14ac:dyDescent="0.25">
      <c r="A6">
        <f>[1]Baseline!A6</f>
        <v>6</v>
      </c>
      <c r="B6">
        <v>1</v>
      </c>
      <c r="C6">
        <v>1</v>
      </c>
    </row>
    <row r="7" spans="1:3" x14ac:dyDescent="0.25">
      <c r="A7">
        <f>[1]Baseline!A7</f>
        <v>7</v>
      </c>
      <c r="B7">
        <v>1</v>
      </c>
      <c r="C7">
        <v>1</v>
      </c>
    </row>
    <row r="8" spans="1:3" x14ac:dyDescent="0.25">
      <c r="A8">
        <f>[1]Baseline!A8</f>
        <v>8</v>
      </c>
      <c r="B8">
        <v>1</v>
      </c>
      <c r="C8">
        <v>1</v>
      </c>
    </row>
    <row r="9" spans="1:3" x14ac:dyDescent="0.25">
      <c r="A9">
        <f>[1]Baseline!A9</f>
        <v>9</v>
      </c>
      <c r="B9">
        <v>1</v>
      </c>
      <c r="C9">
        <v>1</v>
      </c>
    </row>
    <row r="10" spans="1:3" x14ac:dyDescent="0.25">
      <c r="A10">
        <f>[1]Baseline!A10</f>
        <v>10</v>
      </c>
      <c r="B10">
        <v>1</v>
      </c>
      <c r="C10">
        <v>1</v>
      </c>
    </row>
    <row r="11" spans="1:3" x14ac:dyDescent="0.25">
      <c r="A11">
        <f>[1]Baseline!A11</f>
        <v>11</v>
      </c>
      <c r="B11">
        <v>1</v>
      </c>
      <c r="C11">
        <v>1</v>
      </c>
    </row>
    <row r="12" spans="1:3" x14ac:dyDescent="0.25">
      <c r="A12">
        <f>[1]Baseline!A12</f>
        <v>12</v>
      </c>
      <c r="B12">
        <v>1</v>
      </c>
      <c r="C12">
        <v>1</v>
      </c>
    </row>
    <row r="13" spans="1:3" x14ac:dyDescent="0.25">
      <c r="A13">
        <f>[1]Baseline!A13</f>
        <v>13</v>
      </c>
      <c r="B13">
        <v>1</v>
      </c>
      <c r="C13">
        <v>1</v>
      </c>
    </row>
    <row r="14" spans="1:3" x14ac:dyDescent="0.25">
      <c r="A14">
        <f>[1]Baseline!A14</f>
        <v>14</v>
      </c>
      <c r="B14">
        <v>1</v>
      </c>
      <c r="C14">
        <v>1</v>
      </c>
    </row>
    <row r="15" spans="1:3" x14ac:dyDescent="0.25">
      <c r="A15">
        <f>[1]Baseline!A15</f>
        <v>15</v>
      </c>
      <c r="B15">
        <v>1</v>
      </c>
      <c r="C15">
        <v>1</v>
      </c>
    </row>
    <row r="16" spans="1:3" x14ac:dyDescent="0.25">
      <c r="A16">
        <f>[1]Baseline!A16</f>
        <v>16</v>
      </c>
      <c r="B16">
        <v>1</v>
      </c>
      <c r="C16">
        <v>1</v>
      </c>
    </row>
    <row r="17" spans="1:3" x14ac:dyDescent="0.25">
      <c r="A17">
        <f>[1]Baseline!A17</f>
        <v>17</v>
      </c>
      <c r="B17">
        <v>1</v>
      </c>
      <c r="C17">
        <v>1</v>
      </c>
    </row>
    <row r="18" spans="1:3" x14ac:dyDescent="0.25">
      <c r="A18">
        <f>[1]Baseline!A18</f>
        <v>18</v>
      </c>
      <c r="B18">
        <v>1</v>
      </c>
      <c r="C18">
        <v>1</v>
      </c>
    </row>
    <row r="19" spans="1:3" x14ac:dyDescent="0.25">
      <c r="A19">
        <f>[1]Baseline!A19</f>
        <v>19</v>
      </c>
      <c r="B19">
        <v>1</v>
      </c>
      <c r="C19">
        <v>1</v>
      </c>
    </row>
    <row r="20" spans="1:3" x14ac:dyDescent="0.25">
      <c r="A20">
        <f>[1]Baseline!A20</f>
        <v>20</v>
      </c>
      <c r="B20">
        <v>1</v>
      </c>
      <c r="C20">
        <v>1</v>
      </c>
    </row>
    <row r="21" spans="1:3" x14ac:dyDescent="0.25">
      <c r="A21">
        <f>[1]Baseline!A21</f>
        <v>21</v>
      </c>
      <c r="B21">
        <v>1</v>
      </c>
      <c r="C21">
        <v>1</v>
      </c>
    </row>
    <row r="22" spans="1:3" x14ac:dyDescent="0.25">
      <c r="A22">
        <f>[1]Baseline!A22</f>
        <v>22</v>
      </c>
      <c r="B22">
        <v>1</v>
      </c>
      <c r="C22">
        <v>1</v>
      </c>
    </row>
    <row r="23" spans="1:3" x14ac:dyDescent="0.25">
      <c r="A23">
        <f>[1]Baseline!A23</f>
        <v>23</v>
      </c>
      <c r="B23">
        <v>1</v>
      </c>
      <c r="C23">
        <v>1</v>
      </c>
    </row>
    <row r="24" spans="1:3" x14ac:dyDescent="0.25">
      <c r="A24">
        <f>[1]Baseline!A24</f>
        <v>24</v>
      </c>
      <c r="B24">
        <v>1</v>
      </c>
      <c r="C24">
        <v>1</v>
      </c>
    </row>
    <row r="25" spans="1:3" x14ac:dyDescent="0.25">
      <c r="A25">
        <f>A24+1</f>
        <v>25</v>
      </c>
      <c r="B25">
        <v>1</v>
      </c>
      <c r="C25">
        <v>1</v>
      </c>
    </row>
    <row r="26" spans="1:3" x14ac:dyDescent="0.25">
      <c r="A26">
        <f>A25+1</f>
        <v>26</v>
      </c>
      <c r="B26">
        <v>1</v>
      </c>
      <c r="C26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6"/>
  <sheetViews>
    <sheetView workbookViewId="0">
      <selection activeCell="M26" sqref="M26"/>
    </sheetView>
  </sheetViews>
  <sheetFormatPr defaultRowHeight="15" x14ac:dyDescent="0.25"/>
  <cols>
    <col min="1" max="1" width="5.5703125" customWidth="1"/>
    <col min="2" max="2" width="9.42578125" customWidth="1"/>
    <col min="3" max="3" width="15.7109375" customWidth="1"/>
  </cols>
  <sheetData>
    <row r="1" spans="1:3" x14ac:dyDescent="0.25">
      <c r="A1" t="s">
        <v>5</v>
      </c>
      <c r="B1" t="s">
        <v>150</v>
      </c>
      <c r="C1" t="s">
        <v>7</v>
      </c>
    </row>
    <row r="2" spans="1:3" x14ac:dyDescent="0.25">
      <c r="A2">
        <f>[1]Baseline!A2</f>
        <v>2</v>
      </c>
      <c r="B2">
        <v>0</v>
      </c>
      <c r="C2">
        <v>1</v>
      </c>
    </row>
    <row r="3" spans="1:3" x14ac:dyDescent="0.25">
      <c r="A3">
        <f>[1]Baseline!A3</f>
        <v>3</v>
      </c>
      <c r="B3">
        <v>0</v>
      </c>
      <c r="C3">
        <v>1</v>
      </c>
    </row>
    <row r="4" spans="1:3" x14ac:dyDescent="0.25">
      <c r="A4">
        <f>[1]Baseline!A4</f>
        <v>4</v>
      </c>
      <c r="B4">
        <v>0</v>
      </c>
      <c r="C4">
        <v>1</v>
      </c>
    </row>
    <row r="5" spans="1:3" x14ac:dyDescent="0.25">
      <c r="A5">
        <f>[1]Baseline!A5</f>
        <v>5</v>
      </c>
      <c r="B5">
        <v>0</v>
      </c>
      <c r="C5">
        <v>1</v>
      </c>
    </row>
    <row r="6" spans="1:3" x14ac:dyDescent="0.25">
      <c r="A6">
        <f>[1]Baseline!A6</f>
        <v>6</v>
      </c>
      <c r="B6">
        <v>0</v>
      </c>
      <c r="C6">
        <v>1</v>
      </c>
    </row>
    <row r="7" spans="1:3" x14ac:dyDescent="0.25">
      <c r="A7">
        <f>[1]Baseline!A7</f>
        <v>7</v>
      </c>
      <c r="B7">
        <v>0</v>
      </c>
      <c r="C7">
        <v>1</v>
      </c>
    </row>
    <row r="8" spans="1:3" x14ac:dyDescent="0.25">
      <c r="A8">
        <f>[1]Baseline!A8</f>
        <v>8</v>
      </c>
      <c r="B8">
        <v>0</v>
      </c>
      <c r="C8">
        <v>1</v>
      </c>
    </row>
    <row r="9" spans="1:3" x14ac:dyDescent="0.25">
      <c r="A9">
        <f>[1]Baseline!A9</f>
        <v>9</v>
      </c>
      <c r="B9">
        <v>0</v>
      </c>
      <c r="C9">
        <v>1</v>
      </c>
    </row>
    <row r="10" spans="1:3" x14ac:dyDescent="0.25">
      <c r="A10">
        <f>[1]Baseline!A10</f>
        <v>10</v>
      </c>
      <c r="B10">
        <v>0</v>
      </c>
      <c r="C10">
        <v>1</v>
      </c>
    </row>
    <row r="11" spans="1:3" x14ac:dyDescent="0.25">
      <c r="A11">
        <f>[1]Baseline!A11</f>
        <v>11</v>
      </c>
      <c r="B11">
        <v>0</v>
      </c>
      <c r="C11">
        <v>1</v>
      </c>
    </row>
    <row r="12" spans="1:3" x14ac:dyDescent="0.25">
      <c r="A12">
        <f>[1]Baseline!A12</f>
        <v>12</v>
      </c>
      <c r="B12">
        <v>0</v>
      </c>
      <c r="C12">
        <v>1</v>
      </c>
    </row>
    <row r="13" spans="1:3" x14ac:dyDescent="0.25">
      <c r="A13">
        <f>[1]Baseline!A13</f>
        <v>13</v>
      </c>
      <c r="B13">
        <v>0</v>
      </c>
      <c r="C13">
        <v>1</v>
      </c>
    </row>
    <row r="14" spans="1:3" x14ac:dyDescent="0.25">
      <c r="A14">
        <f>[1]Baseline!A14</f>
        <v>14</v>
      </c>
      <c r="B14">
        <v>0</v>
      </c>
      <c r="C14">
        <v>1</v>
      </c>
    </row>
    <row r="15" spans="1:3" x14ac:dyDescent="0.25">
      <c r="A15">
        <f>[1]Baseline!A15</f>
        <v>15</v>
      </c>
      <c r="B15">
        <v>0</v>
      </c>
      <c r="C15">
        <v>1</v>
      </c>
    </row>
    <row r="16" spans="1:3" x14ac:dyDescent="0.25">
      <c r="A16">
        <f>[1]Baseline!A16</f>
        <v>16</v>
      </c>
      <c r="B16">
        <v>0</v>
      </c>
      <c r="C16">
        <v>1</v>
      </c>
    </row>
    <row r="17" spans="1:3" x14ac:dyDescent="0.25">
      <c r="A17">
        <f>[1]Baseline!A17</f>
        <v>17</v>
      </c>
      <c r="B17">
        <v>0</v>
      </c>
      <c r="C17">
        <v>1</v>
      </c>
    </row>
    <row r="18" spans="1:3" x14ac:dyDescent="0.25">
      <c r="A18">
        <f>[1]Baseline!A18</f>
        <v>18</v>
      </c>
      <c r="B18">
        <v>0</v>
      </c>
      <c r="C18">
        <v>1</v>
      </c>
    </row>
    <row r="19" spans="1:3" x14ac:dyDescent="0.25">
      <c r="A19">
        <f>[1]Baseline!A19</f>
        <v>19</v>
      </c>
      <c r="B19">
        <v>0</v>
      </c>
      <c r="C19">
        <v>1</v>
      </c>
    </row>
    <row r="20" spans="1:3" x14ac:dyDescent="0.25">
      <c r="A20">
        <f>[1]Baseline!A20</f>
        <v>20</v>
      </c>
      <c r="B20">
        <v>0</v>
      </c>
      <c r="C20">
        <v>1</v>
      </c>
    </row>
    <row r="21" spans="1:3" x14ac:dyDescent="0.25">
      <c r="A21">
        <f>[1]Baseline!A21</f>
        <v>21</v>
      </c>
      <c r="B21">
        <v>0</v>
      </c>
      <c r="C21">
        <v>1</v>
      </c>
    </row>
    <row r="22" spans="1:3" x14ac:dyDescent="0.25">
      <c r="A22">
        <f>[1]Baseline!A22</f>
        <v>22</v>
      </c>
      <c r="B22">
        <v>0</v>
      </c>
      <c r="C22">
        <v>1</v>
      </c>
    </row>
    <row r="23" spans="1:3" x14ac:dyDescent="0.25">
      <c r="A23">
        <f>[1]Baseline!A23</f>
        <v>23</v>
      </c>
      <c r="B23">
        <v>0</v>
      </c>
      <c r="C23">
        <v>1</v>
      </c>
    </row>
    <row r="24" spans="1:3" x14ac:dyDescent="0.25">
      <c r="A24">
        <f>[1]Baseline!A24</f>
        <v>24</v>
      </c>
      <c r="B24">
        <v>0</v>
      </c>
      <c r="C24">
        <v>1</v>
      </c>
    </row>
    <row r="25" spans="1:3" x14ac:dyDescent="0.25">
      <c r="A25">
        <f>A24+1</f>
        <v>25</v>
      </c>
      <c r="B25">
        <v>0</v>
      </c>
      <c r="C25">
        <v>1</v>
      </c>
    </row>
    <row r="26" spans="1:3" x14ac:dyDescent="0.25">
      <c r="A26">
        <f>A25+1</f>
        <v>26</v>
      </c>
      <c r="B26">
        <v>0</v>
      </c>
      <c r="C26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6"/>
  <sheetViews>
    <sheetView workbookViewId="0">
      <selection activeCell="G22" sqref="G22"/>
    </sheetView>
  </sheetViews>
  <sheetFormatPr defaultRowHeight="15" x14ac:dyDescent="0.25"/>
  <cols>
    <col min="1" max="1" width="5.5703125" customWidth="1"/>
    <col min="2" max="3" width="15.7109375" customWidth="1"/>
  </cols>
  <sheetData>
    <row r="1" spans="1:3" x14ac:dyDescent="0.25">
      <c r="A1" t="s">
        <v>5</v>
      </c>
      <c r="B1" t="s">
        <v>151</v>
      </c>
      <c r="C1" t="s">
        <v>7</v>
      </c>
    </row>
    <row r="2" spans="1:3" x14ac:dyDescent="0.25">
      <c r="A2">
        <f>[1]Baseline!A2</f>
        <v>2</v>
      </c>
      <c r="B2">
        <v>0</v>
      </c>
      <c r="C2">
        <v>1</v>
      </c>
    </row>
    <row r="3" spans="1:3" x14ac:dyDescent="0.25">
      <c r="A3">
        <f>[1]Baseline!A3</f>
        <v>3</v>
      </c>
      <c r="B3">
        <v>0</v>
      </c>
      <c r="C3">
        <v>1</v>
      </c>
    </row>
    <row r="4" spans="1:3" x14ac:dyDescent="0.25">
      <c r="A4">
        <f>[1]Baseline!A4</f>
        <v>4</v>
      </c>
      <c r="B4">
        <v>0</v>
      </c>
      <c r="C4">
        <v>1</v>
      </c>
    </row>
    <row r="5" spans="1:3" x14ac:dyDescent="0.25">
      <c r="A5">
        <f>[1]Baseline!A5</f>
        <v>5</v>
      </c>
      <c r="B5">
        <v>0</v>
      </c>
      <c r="C5">
        <v>1</v>
      </c>
    </row>
    <row r="6" spans="1:3" x14ac:dyDescent="0.25">
      <c r="A6">
        <f>[1]Baseline!A6</f>
        <v>6</v>
      </c>
      <c r="B6">
        <v>0</v>
      </c>
      <c r="C6">
        <v>1</v>
      </c>
    </row>
    <row r="7" spans="1:3" x14ac:dyDescent="0.25">
      <c r="A7">
        <f>[1]Baseline!A7</f>
        <v>7</v>
      </c>
      <c r="B7">
        <v>0</v>
      </c>
      <c r="C7">
        <v>1</v>
      </c>
    </row>
    <row r="8" spans="1:3" x14ac:dyDescent="0.25">
      <c r="A8">
        <f>[1]Baseline!A8</f>
        <v>8</v>
      </c>
      <c r="B8">
        <v>0</v>
      </c>
      <c r="C8">
        <v>1</v>
      </c>
    </row>
    <row r="9" spans="1:3" x14ac:dyDescent="0.25">
      <c r="A9">
        <f>[1]Baseline!A9</f>
        <v>9</v>
      </c>
      <c r="B9">
        <v>0</v>
      </c>
      <c r="C9">
        <v>1</v>
      </c>
    </row>
    <row r="10" spans="1:3" x14ac:dyDescent="0.25">
      <c r="A10">
        <f>[1]Baseline!A10</f>
        <v>10</v>
      </c>
      <c r="B10">
        <v>0</v>
      </c>
      <c r="C10">
        <v>1</v>
      </c>
    </row>
    <row r="11" spans="1:3" x14ac:dyDescent="0.25">
      <c r="A11">
        <f>[1]Baseline!A11</f>
        <v>11</v>
      </c>
      <c r="B11">
        <v>0</v>
      </c>
      <c r="C11">
        <v>1</v>
      </c>
    </row>
    <row r="12" spans="1:3" x14ac:dyDescent="0.25">
      <c r="A12">
        <f>[1]Baseline!A12</f>
        <v>12</v>
      </c>
      <c r="B12">
        <v>0</v>
      </c>
      <c r="C12">
        <v>1</v>
      </c>
    </row>
    <row r="13" spans="1:3" x14ac:dyDescent="0.25">
      <c r="A13">
        <f>[1]Baseline!A13</f>
        <v>13</v>
      </c>
      <c r="B13">
        <v>0</v>
      </c>
      <c r="C13">
        <v>1</v>
      </c>
    </row>
    <row r="14" spans="1:3" x14ac:dyDescent="0.25">
      <c r="A14">
        <f>[1]Baseline!A14</f>
        <v>14</v>
      </c>
      <c r="B14">
        <v>0</v>
      </c>
      <c r="C14">
        <v>1</v>
      </c>
    </row>
    <row r="15" spans="1:3" x14ac:dyDescent="0.25">
      <c r="A15">
        <f>[1]Baseline!A15</f>
        <v>15</v>
      </c>
      <c r="B15">
        <v>0</v>
      </c>
      <c r="C15">
        <v>1</v>
      </c>
    </row>
    <row r="16" spans="1:3" x14ac:dyDescent="0.25">
      <c r="A16">
        <f>[1]Baseline!A16</f>
        <v>16</v>
      </c>
      <c r="B16">
        <v>0</v>
      </c>
      <c r="C16">
        <v>1</v>
      </c>
    </row>
    <row r="17" spans="1:3" x14ac:dyDescent="0.25">
      <c r="A17">
        <f>[1]Baseline!A17</f>
        <v>17</v>
      </c>
      <c r="B17">
        <v>0</v>
      </c>
      <c r="C17">
        <v>1</v>
      </c>
    </row>
    <row r="18" spans="1:3" x14ac:dyDescent="0.25">
      <c r="A18">
        <f>[1]Baseline!A18</f>
        <v>18</v>
      </c>
      <c r="B18">
        <v>0</v>
      </c>
      <c r="C18">
        <v>1</v>
      </c>
    </row>
    <row r="19" spans="1:3" x14ac:dyDescent="0.25">
      <c r="A19">
        <f>[1]Baseline!A19</f>
        <v>19</v>
      </c>
      <c r="B19">
        <v>0</v>
      </c>
      <c r="C19">
        <v>1</v>
      </c>
    </row>
    <row r="20" spans="1:3" x14ac:dyDescent="0.25">
      <c r="A20">
        <f>[1]Baseline!A20</f>
        <v>20</v>
      </c>
      <c r="B20">
        <v>0</v>
      </c>
      <c r="C20">
        <v>1</v>
      </c>
    </row>
    <row r="21" spans="1:3" x14ac:dyDescent="0.25">
      <c r="A21">
        <f>[1]Baseline!A21</f>
        <v>21</v>
      </c>
      <c r="B21">
        <v>0</v>
      </c>
      <c r="C21">
        <v>1</v>
      </c>
    </row>
    <row r="22" spans="1:3" x14ac:dyDescent="0.25">
      <c r="A22">
        <f>[1]Baseline!A22</f>
        <v>22</v>
      </c>
      <c r="B22">
        <v>0</v>
      </c>
      <c r="C22">
        <v>1</v>
      </c>
    </row>
    <row r="23" spans="1:3" x14ac:dyDescent="0.25">
      <c r="A23">
        <f>[1]Baseline!A23</f>
        <v>23</v>
      </c>
      <c r="B23">
        <v>0</v>
      </c>
      <c r="C23">
        <v>1</v>
      </c>
    </row>
    <row r="24" spans="1:3" x14ac:dyDescent="0.25">
      <c r="A24">
        <f>[1]Baseline!A24</f>
        <v>24</v>
      </c>
      <c r="B24">
        <v>0</v>
      </c>
      <c r="C24">
        <v>1</v>
      </c>
    </row>
    <row r="25" spans="1:3" x14ac:dyDescent="0.25">
      <c r="A25">
        <f>A24+1</f>
        <v>25</v>
      </c>
      <c r="B25">
        <v>0</v>
      </c>
      <c r="C25">
        <v>1</v>
      </c>
    </row>
    <row r="26" spans="1:3" x14ac:dyDescent="0.25">
      <c r="A26">
        <f>A25+1</f>
        <v>26</v>
      </c>
      <c r="B26">
        <v>0</v>
      </c>
      <c r="C26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6"/>
  <sheetViews>
    <sheetView workbookViewId="0">
      <selection activeCell="G22" sqref="G22"/>
    </sheetView>
  </sheetViews>
  <sheetFormatPr defaultRowHeight="15" x14ac:dyDescent="0.25"/>
  <cols>
    <col min="1" max="1" width="5.5703125" customWidth="1"/>
    <col min="2" max="2" width="15.7109375" customWidth="1"/>
    <col min="3" max="3" width="9.42578125" customWidth="1"/>
    <col min="4" max="4" width="15.7109375" customWidth="1"/>
  </cols>
  <sheetData>
    <row r="1" spans="1:4" x14ac:dyDescent="0.25">
      <c r="A1" t="s">
        <v>5</v>
      </c>
      <c r="B1" t="s">
        <v>151</v>
      </c>
      <c r="C1" t="s">
        <v>150</v>
      </c>
      <c r="D1" t="s">
        <v>7</v>
      </c>
    </row>
    <row r="2" spans="1:4" x14ac:dyDescent="0.25">
      <c r="A2">
        <f>[1]Baseline!A2</f>
        <v>2</v>
      </c>
      <c r="B2">
        <v>0</v>
      </c>
      <c r="C2">
        <v>0</v>
      </c>
      <c r="D2">
        <v>1</v>
      </c>
    </row>
    <row r="3" spans="1:4" x14ac:dyDescent="0.25">
      <c r="A3">
        <f>[1]Baseline!A3</f>
        <v>3</v>
      </c>
      <c r="B3">
        <v>0</v>
      </c>
      <c r="C3">
        <v>0</v>
      </c>
      <c r="D3">
        <v>1</v>
      </c>
    </row>
    <row r="4" spans="1:4" x14ac:dyDescent="0.25">
      <c r="A4">
        <f>[1]Baseline!A4</f>
        <v>4</v>
      </c>
      <c r="B4">
        <v>0</v>
      </c>
      <c r="C4">
        <v>0</v>
      </c>
      <c r="D4">
        <v>1</v>
      </c>
    </row>
    <row r="5" spans="1:4" x14ac:dyDescent="0.25">
      <c r="A5">
        <f>[1]Baseline!A5</f>
        <v>5</v>
      </c>
      <c r="B5">
        <v>0</v>
      </c>
      <c r="C5">
        <v>0</v>
      </c>
      <c r="D5">
        <v>1</v>
      </c>
    </row>
    <row r="6" spans="1:4" x14ac:dyDescent="0.25">
      <c r="A6">
        <f>[1]Baseline!A6</f>
        <v>6</v>
      </c>
      <c r="B6">
        <v>0</v>
      </c>
      <c r="C6">
        <v>0</v>
      </c>
      <c r="D6">
        <v>1</v>
      </c>
    </row>
    <row r="7" spans="1:4" x14ac:dyDescent="0.25">
      <c r="A7">
        <f>[1]Baseline!A7</f>
        <v>7</v>
      </c>
      <c r="B7">
        <v>0</v>
      </c>
      <c r="C7">
        <v>0</v>
      </c>
      <c r="D7">
        <v>1</v>
      </c>
    </row>
    <row r="8" spans="1:4" x14ac:dyDescent="0.25">
      <c r="A8">
        <f>[1]Baseline!A8</f>
        <v>8</v>
      </c>
      <c r="B8">
        <v>0</v>
      </c>
      <c r="C8">
        <v>0</v>
      </c>
      <c r="D8">
        <v>1</v>
      </c>
    </row>
    <row r="9" spans="1:4" x14ac:dyDescent="0.25">
      <c r="A9">
        <f>[1]Baseline!A9</f>
        <v>9</v>
      </c>
      <c r="B9">
        <v>0</v>
      </c>
      <c r="C9">
        <v>0</v>
      </c>
      <c r="D9">
        <v>1</v>
      </c>
    </row>
    <row r="10" spans="1:4" x14ac:dyDescent="0.25">
      <c r="A10">
        <f>[1]Baseline!A10</f>
        <v>10</v>
      </c>
      <c r="B10">
        <v>0</v>
      </c>
      <c r="C10">
        <v>0</v>
      </c>
      <c r="D10">
        <v>1</v>
      </c>
    </row>
    <row r="11" spans="1:4" x14ac:dyDescent="0.25">
      <c r="A11">
        <f>[1]Baseline!A11</f>
        <v>11</v>
      </c>
      <c r="B11">
        <v>0</v>
      </c>
      <c r="C11">
        <v>0</v>
      </c>
      <c r="D11">
        <v>1</v>
      </c>
    </row>
    <row r="12" spans="1:4" x14ac:dyDescent="0.25">
      <c r="A12">
        <f>[1]Baseline!A12</f>
        <v>12</v>
      </c>
      <c r="B12">
        <v>0</v>
      </c>
      <c r="C12">
        <v>0</v>
      </c>
      <c r="D12">
        <v>1</v>
      </c>
    </row>
    <row r="13" spans="1:4" x14ac:dyDescent="0.25">
      <c r="A13">
        <f>[1]Baseline!A13</f>
        <v>13</v>
      </c>
      <c r="B13">
        <v>0</v>
      </c>
      <c r="C13">
        <v>0</v>
      </c>
      <c r="D13">
        <v>1</v>
      </c>
    </row>
    <row r="14" spans="1:4" x14ac:dyDescent="0.25">
      <c r="A14">
        <f>[1]Baseline!A14</f>
        <v>14</v>
      </c>
      <c r="B14">
        <v>0</v>
      </c>
      <c r="C14">
        <v>0</v>
      </c>
      <c r="D14">
        <v>1</v>
      </c>
    </row>
    <row r="15" spans="1:4" x14ac:dyDescent="0.25">
      <c r="A15">
        <f>[1]Baseline!A15</f>
        <v>15</v>
      </c>
      <c r="B15">
        <v>0</v>
      </c>
      <c r="C15">
        <v>0</v>
      </c>
      <c r="D15">
        <v>1</v>
      </c>
    </row>
    <row r="16" spans="1:4" x14ac:dyDescent="0.25">
      <c r="A16">
        <f>[1]Baseline!A16</f>
        <v>16</v>
      </c>
      <c r="B16">
        <v>0</v>
      </c>
      <c r="C16">
        <v>0</v>
      </c>
      <c r="D16">
        <v>1</v>
      </c>
    </row>
    <row r="17" spans="1:4" x14ac:dyDescent="0.25">
      <c r="A17">
        <f>[1]Baseline!A17</f>
        <v>17</v>
      </c>
      <c r="B17">
        <v>0</v>
      </c>
      <c r="C17">
        <v>0</v>
      </c>
      <c r="D17">
        <v>1</v>
      </c>
    </row>
    <row r="18" spans="1:4" x14ac:dyDescent="0.25">
      <c r="A18">
        <f>[1]Baseline!A18</f>
        <v>18</v>
      </c>
      <c r="B18">
        <v>0</v>
      </c>
      <c r="C18">
        <v>0</v>
      </c>
      <c r="D18">
        <v>1</v>
      </c>
    </row>
    <row r="19" spans="1:4" x14ac:dyDescent="0.25">
      <c r="A19">
        <f>[1]Baseline!A19</f>
        <v>19</v>
      </c>
      <c r="B19">
        <v>0</v>
      </c>
      <c r="C19">
        <v>0</v>
      </c>
      <c r="D19">
        <v>1</v>
      </c>
    </row>
    <row r="20" spans="1:4" x14ac:dyDescent="0.25">
      <c r="A20">
        <f>[1]Baseline!A20</f>
        <v>20</v>
      </c>
      <c r="B20">
        <v>0</v>
      </c>
      <c r="C20">
        <v>0</v>
      </c>
      <c r="D20">
        <v>1</v>
      </c>
    </row>
    <row r="21" spans="1:4" x14ac:dyDescent="0.25">
      <c r="A21">
        <f>[1]Baseline!A21</f>
        <v>21</v>
      </c>
      <c r="B21">
        <v>0</v>
      </c>
      <c r="C21">
        <v>0</v>
      </c>
      <c r="D21">
        <v>1</v>
      </c>
    </row>
    <row r="22" spans="1:4" x14ac:dyDescent="0.25">
      <c r="A22">
        <f>[1]Baseline!A22</f>
        <v>22</v>
      </c>
      <c r="B22">
        <v>0</v>
      </c>
      <c r="C22">
        <v>0</v>
      </c>
      <c r="D22">
        <v>1</v>
      </c>
    </row>
    <row r="23" spans="1:4" x14ac:dyDescent="0.25">
      <c r="A23">
        <f>[1]Baseline!A23</f>
        <v>23</v>
      </c>
      <c r="B23">
        <v>0</v>
      </c>
      <c r="C23">
        <v>0</v>
      </c>
      <c r="D23">
        <v>1</v>
      </c>
    </row>
    <row r="24" spans="1:4" x14ac:dyDescent="0.25">
      <c r="A24">
        <f>[1]Baseline!A24</f>
        <v>24</v>
      </c>
      <c r="B24">
        <v>0</v>
      </c>
      <c r="C24">
        <v>0</v>
      </c>
      <c r="D24">
        <v>1</v>
      </c>
    </row>
    <row r="25" spans="1:4" x14ac:dyDescent="0.25">
      <c r="A25">
        <f>A24+1</f>
        <v>25</v>
      </c>
      <c r="B25">
        <v>0</v>
      </c>
      <c r="C25">
        <v>0</v>
      </c>
      <c r="D25">
        <v>1</v>
      </c>
    </row>
    <row r="26" spans="1:4" x14ac:dyDescent="0.25">
      <c r="A26">
        <f>A25+1</f>
        <v>26</v>
      </c>
      <c r="B26">
        <v>0</v>
      </c>
      <c r="C26">
        <v>0</v>
      </c>
      <c r="D26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6"/>
  <sheetViews>
    <sheetView workbookViewId="0">
      <selection activeCell="G22" sqref="G22"/>
    </sheetView>
  </sheetViews>
  <sheetFormatPr defaultRowHeight="15" x14ac:dyDescent="0.25"/>
  <cols>
    <col min="1" max="1" width="5.5703125" customWidth="1"/>
    <col min="2" max="2" width="11.28515625" customWidth="1"/>
    <col min="3" max="3" width="15.7109375" customWidth="1"/>
  </cols>
  <sheetData>
    <row r="1" spans="1:3" x14ac:dyDescent="0.25">
      <c r="A1" t="s">
        <v>5</v>
      </c>
      <c r="B1" t="s">
        <v>8</v>
      </c>
      <c r="C1" t="s">
        <v>7</v>
      </c>
    </row>
    <row r="2" spans="1:3" x14ac:dyDescent="0.25">
      <c r="A2">
        <f>[1]Baseline!A2</f>
        <v>2</v>
      </c>
      <c r="B2">
        <v>1</v>
      </c>
      <c r="C2">
        <v>1</v>
      </c>
    </row>
    <row r="3" spans="1:3" x14ac:dyDescent="0.25">
      <c r="A3">
        <f>[1]Baseline!A3</f>
        <v>3</v>
      </c>
      <c r="B3">
        <v>1</v>
      </c>
      <c r="C3">
        <v>1</v>
      </c>
    </row>
    <row r="4" spans="1:3" x14ac:dyDescent="0.25">
      <c r="A4">
        <f>[1]Baseline!A4</f>
        <v>4</v>
      </c>
      <c r="B4">
        <v>1</v>
      </c>
      <c r="C4">
        <v>1</v>
      </c>
    </row>
    <row r="5" spans="1:3" x14ac:dyDescent="0.25">
      <c r="A5">
        <f>[1]Baseline!A5</f>
        <v>5</v>
      </c>
      <c r="B5">
        <v>1</v>
      </c>
      <c r="C5">
        <v>1</v>
      </c>
    </row>
    <row r="6" spans="1:3" x14ac:dyDescent="0.25">
      <c r="A6">
        <f>[1]Baseline!A6</f>
        <v>6</v>
      </c>
      <c r="B6">
        <v>1</v>
      </c>
      <c r="C6">
        <v>1</v>
      </c>
    </row>
    <row r="7" spans="1:3" x14ac:dyDescent="0.25">
      <c r="A7">
        <f>[1]Baseline!A7</f>
        <v>7</v>
      </c>
      <c r="B7">
        <v>1</v>
      </c>
      <c r="C7">
        <v>1</v>
      </c>
    </row>
    <row r="8" spans="1:3" x14ac:dyDescent="0.25">
      <c r="A8">
        <f>[1]Baseline!A8</f>
        <v>8</v>
      </c>
      <c r="B8">
        <v>1</v>
      </c>
      <c r="C8">
        <v>1</v>
      </c>
    </row>
    <row r="9" spans="1:3" x14ac:dyDescent="0.25">
      <c r="A9">
        <f>[1]Baseline!A9</f>
        <v>9</v>
      </c>
      <c r="B9">
        <v>1</v>
      </c>
      <c r="C9">
        <v>1</v>
      </c>
    </row>
    <row r="10" spans="1:3" x14ac:dyDescent="0.25">
      <c r="A10">
        <f>[1]Baseline!A10</f>
        <v>10</v>
      </c>
      <c r="B10">
        <v>1</v>
      </c>
      <c r="C10">
        <v>1</v>
      </c>
    </row>
    <row r="11" spans="1:3" x14ac:dyDescent="0.25">
      <c r="A11">
        <f>[1]Baseline!A11</f>
        <v>11</v>
      </c>
      <c r="B11">
        <v>1</v>
      </c>
      <c r="C11">
        <v>1</v>
      </c>
    </row>
    <row r="12" spans="1:3" x14ac:dyDescent="0.25">
      <c r="A12">
        <f>[1]Baseline!A12</f>
        <v>12</v>
      </c>
      <c r="B12">
        <v>1</v>
      </c>
      <c r="C12">
        <v>1</v>
      </c>
    </row>
    <row r="13" spans="1:3" x14ac:dyDescent="0.25">
      <c r="A13">
        <f>[1]Baseline!A13</f>
        <v>13</v>
      </c>
      <c r="B13">
        <v>1</v>
      </c>
      <c r="C13">
        <v>1</v>
      </c>
    </row>
    <row r="14" spans="1:3" x14ac:dyDescent="0.25">
      <c r="A14">
        <f>[1]Baseline!A14</f>
        <v>14</v>
      </c>
      <c r="B14">
        <v>1</v>
      </c>
      <c r="C14">
        <v>1</v>
      </c>
    </row>
    <row r="15" spans="1:3" x14ac:dyDescent="0.25">
      <c r="A15">
        <f>[1]Baseline!A15</f>
        <v>15</v>
      </c>
      <c r="B15">
        <v>1</v>
      </c>
      <c r="C15">
        <v>1</v>
      </c>
    </row>
    <row r="16" spans="1:3" x14ac:dyDescent="0.25">
      <c r="A16">
        <f>[1]Baseline!A16</f>
        <v>16</v>
      </c>
      <c r="B16">
        <v>1</v>
      </c>
      <c r="C16">
        <v>1</v>
      </c>
    </row>
    <row r="17" spans="1:3" x14ac:dyDescent="0.25">
      <c r="A17">
        <f>[1]Baseline!A17</f>
        <v>17</v>
      </c>
      <c r="B17">
        <v>1</v>
      </c>
      <c r="C17">
        <v>1</v>
      </c>
    </row>
    <row r="18" spans="1:3" x14ac:dyDescent="0.25">
      <c r="A18">
        <f>[1]Baseline!A18</f>
        <v>18</v>
      </c>
      <c r="B18">
        <v>1</v>
      </c>
      <c r="C18">
        <v>1</v>
      </c>
    </row>
    <row r="19" spans="1:3" x14ac:dyDescent="0.25">
      <c r="A19">
        <f>[1]Baseline!A19</f>
        <v>19</v>
      </c>
      <c r="B19">
        <v>1</v>
      </c>
      <c r="C19">
        <v>1</v>
      </c>
    </row>
    <row r="20" spans="1:3" x14ac:dyDescent="0.25">
      <c r="A20">
        <f>[1]Baseline!A20</f>
        <v>20</v>
      </c>
      <c r="B20">
        <v>1</v>
      </c>
      <c r="C20">
        <v>1</v>
      </c>
    </row>
    <row r="21" spans="1:3" x14ac:dyDescent="0.25">
      <c r="A21">
        <f>[1]Baseline!A21</f>
        <v>21</v>
      </c>
      <c r="B21">
        <v>1</v>
      </c>
      <c r="C21">
        <v>1</v>
      </c>
    </row>
    <row r="22" spans="1:3" x14ac:dyDescent="0.25">
      <c r="A22">
        <f>[1]Baseline!A22</f>
        <v>22</v>
      </c>
      <c r="B22">
        <v>1</v>
      </c>
      <c r="C22">
        <v>1</v>
      </c>
    </row>
    <row r="23" spans="1:3" x14ac:dyDescent="0.25">
      <c r="A23">
        <f>[1]Baseline!A23</f>
        <v>23</v>
      </c>
      <c r="B23">
        <v>1</v>
      </c>
      <c r="C23">
        <v>1</v>
      </c>
    </row>
    <row r="24" spans="1:3" x14ac:dyDescent="0.25">
      <c r="A24">
        <f>[1]Baseline!A24</f>
        <v>24</v>
      </c>
      <c r="B24">
        <v>1</v>
      </c>
      <c r="C24">
        <v>1</v>
      </c>
    </row>
    <row r="25" spans="1:3" x14ac:dyDescent="0.25">
      <c r="A25">
        <f>A24+1</f>
        <v>25</v>
      </c>
      <c r="B25">
        <v>1</v>
      </c>
      <c r="C25">
        <v>1</v>
      </c>
    </row>
    <row r="26" spans="1:3" x14ac:dyDescent="0.25">
      <c r="A26">
        <f>A25+1</f>
        <v>26</v>
      </c>
      <c r="B26">
        <v>1</v>
      </c>
      <c r="C26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2.5202707317519502E-2</v>
      </c>
      <c r="D2">
        <v>3.5113637810048101E-2</v>
      </c>
      <c r="E2">
        <v>1.6418604651162801E-2</v>
      </c>
      <c r="F2">
        <v>1.50883720930233E-2</v>
      </c>
      <c r="G2">
        <v>1.6744186046511601E-3</v>
      </c>
      <c r="H2">
        <v>7.2652732019529306E-2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4.7473531946636498E-2</v>
      </c>
      <c r="D3">
        <v>6.7199705815453301E-2</v>
      </c>
      <c r="E3">
        <v>2.16791628677462E-2</v>
      </c>
      <c r="F3">
        <v>1.9039511704955499E-2</v>
      </c>
      <c r="G3">
        <v>4.2296511627907003E-3</v>
      </c>
      <c r="H3">
        <v>0.146585712840962</v>
      </c>
      <c r="I3">
        <v>3.1663721700717698E-3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7.4148222400599303E-2</v>
      </c>
      <c r="D4">
        <v>0.102964577550523</v>
      </c>
      <c r="E4">
        <v>2.8762581446714501E-2</v>
      </c>
      <c r="F4">
        <v>2.4832244237412201E-2</v>
      </c>
      <c r="G4">
        <v>6.3218023255813896E-3</v>
      </c>
      <c r="H4">
        <v>0.22054822436489999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0.118931808260049</v>
      </c>
      <c r="D5">
        <v>0.15406451388407799</v>
      </c>
      <c r="E5">
        <v>4.35501303982124E-2</v>
      </c>
      <c r="F5">
        <v>3.8345966444724197E-2</v>
      </c>
      <c r="G5">
        <v>7.9971802325581407E-3</v>
      </c>
      <c r="H5">
        <v>0.29454017307725699</v>
      </c>
      <c r="I5">
        <v>1.32928768636114E-2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</v>
      </c>
      <c r="D6">
        <v>0.22699757046494201</v>
      </c>
      <c r="E6">
        <v>6.9609994144954002E-2</v>
      </c>
      <c r="F6">
        <v>6.3147176819372597E-2</v>
      </c>
      <c r="G6">
        <v>9.2974622093023197E-3</v>
      </c>
      <c r="H6">
        <v>0.36856283117011401</v>
      </c>
      <c r="I6">
        <v>2.57265046935394E-2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0.19959145630936201</v>
      </c>
      <c r="D7">
        <v>0.24437684248057501</v>
      </c>
      <c r="E7">
        <v>7.6261210703509705E-2</v>
      </c>
      <c r="F7">
        <v>6.9342134677360903E-2</v>
      </c>
      <c r="G7">
        <v>1.0307250872093001E-2</v>
      </c>
      <c r="H7">
        <v>0.440443359090614</v>
      </c>
      <c r="I7">
        <v>1.0399210423646501E-2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0.20872240989502999</v>
      </c>
      <c r="D8">
        <v>0.26130757849943198</v>
      </c>
      <c r="E8">
        <v>8.2820761188340905E-2</v>
      </c>
      <c r="F8">
        <v>7.5595042722628306E-2</v>
      </c>
      <c r="G8">
        <v>1.1155595552325599E-2</v>
      </c>
      <c r="H8">
        <v>0.51237588189466099</v>
      </c>
      <c r="I8">
        <v>1.0975493606026799E-2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0.27780412182728198</v>
      </c>
      <c r="E9">
        <v>8.9291343307587603E-2</v>
      </c>
      <c r="F9">
        <v>8.1906480085290806E-2</v>
      </c>
      <c r="G9">
        <v>1.18586406482558E-2</v>
      </c>
      <c r="H9">
        <v>0.58436234415791799</v>
      </c>
      <c r="I9">
        <v>1.15581509372509E-2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0.22497923666845901</v>
      </c>
      <c r="D10">
        <v>0.293881030094228</v>
      </c>
      <c r="E10">
        <v>9.56753849985746E-2</v>
      </c>
      <c r="F10">
        <v>8.82769679824537E-2</v>
      </c>
      <c r="G10">
        <v>1.2430916118313999E-2</v>
      </c>
      <c r="H10">
        <v>0.65640168456761705</v>
      </c>
      <c r="I10">
        <v>1.21471824173198E-2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</v>
      </c>
      <c r="D11">
        <v>0.30955301482863801</v>
      </c>
      <c r="E11">
        <v>0.10197507140489601</v>
      </c>
      <c r="F11">
        <v>9.4706975509510405E-2</v>
      </c>
      <c r="G11">
        <v>1.28854989250872E-2</v>
      </c>
      <c r="H11">
        <v>0.72849439176615105</v>
      </c>
      <c r="I11">
        <v>1.27425880462323E-2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0.24879601161759901</v>
      </c>
      <c r="D12">
        <v>0.33417771859324702</v>
      </c>
      <c r="E12">
        <v>0.11323118814550701</v>
      </c>
      <c r="F12">
        <v>0.10666291681898001</v>
      </c>
      <c r="G12">
        <v>1.32341583349041E-2</v>
      </c>
      <c r="H12">
        <v>0.80064060954007099</v>
      </c>
      <c r="I12">
        <v>1.8810359790653E-2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0.26407974771648302</v>
      </c>
      <c r="D13">
        <v>0.35800394062324598</v>
      </c>
      <c r="E13">
        <v>0.12433496545162399</v>
      </c>
      <c r="F13">
        <v>0.118749850158408</v>
      </c>
      <c r="G13">
        <v>1.34874866874602E-2</v>
      </c>
      <c r="H13">
        <v>0.87284056423052403</v>
      </c>
      <c r="I13">
        <v>2.0035783160861201E-2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0.278111614972754</v>
      </c>
      <c r="D14">
        <v>0.38104360927605402</v>
      </c>
      <c r="E14">
        <v>0.13528799629292401</v>
      </c>
      <c r="F14">
        <v>0.130968117498338</v>
      </c>
      <c r="G14">
        <v>1.3655017088481601E-2</v>
      </c>
      <c r="H14">
        <v>0.94509391589260705</v>
      </c>
      <c r="I14">
        <v>2.1274647704607599E-2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0.29095688272655001</v>
      </c>
      <c r="D15">
        <v>0.40331033301438901</v>
      </c>
      <c r="E15">
        <v>0.14609171434212001</v>
      </c>
      <c r="F15">
        <v>0.14331802661225601</v>
      </c>
      <c r="G15">
        <v>1.37453293331218E-2</v>
      </c>
      <c r="H15">
        <v>1.0174008008481901</v>
      </c>
      <c r="I15">
        <v>2.2526953421891999E-2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0.30268174614797499</v>
      </c>
      <c r="D16">
        <v>0.42481928667098101</v>
      </c>
      <c r="E16">
        <v>0.156747409904652</v>
      </c>
      <c r="F16">
        <v>0.15579985449630401</v>
      </c>
      <c r="G16">
        <v>1.37661452370189E-2</v>
      </c>
      <c r="H16">
        <v>1.08976203377611</v>
      </c>
      <c r="I16">
        <v>2.3792700312714899E-2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0.314378347668057</v>
      </c>
      <c r="D17">
        <v>0.44701412007840102</v>
      </c>
      <c r="E17">
        <v>0.168253282699938</v>
      </c>
      <c r="F17">
        <v>0.16957380494591101</v>
      </c>
      <c r="G17">
        <v>1.4440693504014701E-2</v>
      </c>
      <c r="H17">
        <v>1.16124521249538</v>
      </c>
      <c r="I17">
        <v>2.6232307992260701E-2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0.32494613008898099</v>
      </c>
      <c r="D18">
        <v>0.46841004387162599</v>
      </c>
      <c r="E18">
        <v>0.17959649697243099</v>
      </c>
      <c r="F18">
        <v>0.183494262623631</v>
      </c>
      <c r="G18">
        <v>1.50059264791946E-2</v>
      </c>
      <c r="H18">
        <v>1.23278881698118</v>
      </c>
      <c r="I18">
        <v>2.76555125909154E-2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0.33445428502945501</v>
      </c>
      <c r="D19">
        <v>0.48902455341801399</v>
      </c>
      <c r="E19">
        <v>0.190778202657123</v>
      </c>
      <c r="F19">
        <v>0.19756147132011301</v>
      </c>
      <c r="G19">
        <v>1.54727756917403E-2</v>
      </c>
      <c r="H19">
        <v>1.30439195815953</v>
      </c>
      <c r="I19">
        <v>2.9093611703031898E-2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0.34297157823989299</v>
      </c>
      <c r="D20">
        <v>0.50887661305596799</v>
      </c>
      <c r="E20">
        <v>0.20179943469550701</v>
      </c>
      <c r="F20">
        <v>0.21177565044694499</v>
      </c>
      <c r="G20">
        <v>1.58510795179151E-2</v>
      </c>
      <c r="H20">
        <v>1.3760554514268499</v>
      </c>
      <c r="I20">
        <v>3.0546605328610602E-2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0.35056583680147302</v>
      </c>
      <c r="D21">
        <v>0.52798650801626301</v>
      </c>
      <c r="E21">
        <v>0.212661124534925</v>
      </c>
      <c r="F21">
        <v>0.22613699747455299</v>
      </c>
      <c r="G21">
        <v>1.6149692496356199E-2</v>
      </c>
      <c r="H21">
        <v>1.4477785228378099</v>
      </c>
      <c r="I21">
        <v>3.2014493467651103E-2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0.34743457692054103</v>
      </c>
      <c r="D22">
        <v>0.53502156906192</v>
      </c>
      <c r="E22">
        <v>0.21633023138034699</v>
      </c>
      <c r="F22">
        <v>0.23189981964661799</v>
      </c>
      <c r="G22">
        <v>1.6376583711836801E-2</v>
      </c>
      <c r="H22">
        <v>1.5195616168633399</v>
      </c>
      <c r="I22">
        <v>2.4751405640450998E-2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0.34449081675425502</v>
      </c>
      <c r="D23">
        <v>0.54203455608453799</v>
      </c>
      <c r="E23">
        <v>0.21994917765834399</v>
      </c>
      <c r="F23">
        <v>0.237703937327715</v>
      </c>
      <c r="G23">
        <v>1.6538925340653099E-2</v>
      </c>
      <c r="H23">
        <v>1.59140452106063</v>
      </c>
      <c r="I23">
        <v>2.5268285692270499E-2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0.34173386574757397</v>
      </c>
      <c r="D24">
        <v>0.54903173633765601</v>
      </c>
      <c r="E24">
        <v>0.22351864239402799</v>
      </c>
      <c r="F24">
        <v>0.24354949447378499</v>
      </c>
      <c r="G24">
        <v>1.6643172341471502E-2</v>
      </c>
      <c r="H24">
        <v>1.6633073381441199</v>
      </c>
      <c r="I24">
        <v>2.57894392509345E-2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0.33916258972257501</v>
      </c>
      <c r="D25">
        <v>0.55601897918417698</v>
      </c>
      <c r="E25">
        <v>0.22703923671000101</v>
      </c>
      <c r="F25">
        <v>0.24943662064517499</v>
      </c>
      <c r="G25">
        <v>1.66951341770918E-2</v>
      </c>
      <c r="H25">
        <v>1.7352698416418899</v>
      </c>
      <c r="I25">
        <v>2.63148663164425E-2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0.33677546608268599</v>
      </c>
      <c r="D26">
        <v>0.56300177297519804</v>
      </c>
      <c r="E26">
        <v>0.23051151061660499</v>
      </c>
      <c r="F26">
        <v>0.25536543244619703</v>
      </c>
      <c r="G26">
        <v>1.6700039364033799E-2</v>
      </c>
      <c r="H26">
        <v>1.80729186459692</v>
      </c>
      <c r="I26">
        <v>2.68445668887951E-2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0.33643657404006699</v>
      </c>
      <c r="D27">
        <v>0.56652431353207</v>
      </c>
      <c r="E27">
        <v>0.23202718776586001</v>
      </c>
      <c r="F27">
        <v>0.25625230499359902</v>
      </c>
      <c r="G27">
        <v>1.50300354276304E-2</v>
      </c>
      <c r="H27">
        <v>1.8111042717890899</v>
      </c>
      <c r="I27">
        <v>2.2423415792021801E-2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2.5202707317519502E-2</v>
      </c>
      <c r="D2">
        <v>3.5113637810048101E-2</v>
      </c>
      <c r="E2">
        <v>1.6418604651162801E-2</v>
      </c>
      <c r="F2">
        <v>1.50883720930233E-2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4.7473531946636498E-2</v>
      </c>
      <c r="D3">
        <v>6.7199705815453301E-2</v>
      </c>
      <c r="E3">
        <v>2.16791628677462E-2</v>
      </c>
      <c r="F3">
        <v>1.9039511704955499E-2</v>
      </c>
      <c r="G3">
        <v>0</v>
      </c>
      <c r="H3">
        <v>0.13539852345039699</v>
      </c>
      <c r="I3">
        <v>3.1663721700717698E-3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7.4148222400599303E-2</v>
      </c>
      <c r="D4">
        <v>0.102964577550523</v>
      </c>
      <c r="E4">
        <v>2.8762581446714501E-2</v>
      </c>
      <c r="F4">
        <v>2.4832244237412201E-2</v>
      </c>
      <c r="G4">
        <v>0</v>
      </c>
      <c r="H4">
        <v>0.20319958603028701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0.118931808260049</v>
      </c>
      <c r="D5">
        <v>0.15406451388407799</v>
      </c>
      <c r="E5">
        <v>4.35501303982124E-2</v>
      </c>
      <c r="F5">
        <v>3.8345966444724197E-2</v>
      </c>
      <c r="G5">
        <v>0</v>
      </c>
      <c r="H5">
        <v>0.27106781689211501</v>
      </c>
      <c r="I5">
        <v>1.32928768636114E-2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</v>
      </c>
      <c r="D6">
        <v>0.22699757046494201</v>
      </c>
      <c r="E6">
        <v>6.9609994144954002E-2</v>
      </c>
      <c r="F6">
        <v>6.3147176819372597E-2</v>
      </c>
      <c r="G6">
        <v>0</v>
      </c>
      <c r="H6">
        <v>0.33900402892857001</v>
      </c>
      <c r="I6">
        <v>2.57265046935394E-2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0.19959145630936201</v>
      </c>
      <c r="D7">
        <v>0.24437684248057501</v>
      </c>
      <c r="E7">
        <v>7.6261210703509705E-2</v>
      </c>
      <c r="F7">
        <v>6.9342134677360903E-2</v>
      </c>
      <c r="G7">
        <v>0</v>
      </c>
      <c r="H7">
        <v>0.40700858300437598</v>
      </c>
      <c r="I7">
        <v>1.0399210423646501E-2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0.20872240989502999</v>
      </c>
      <c r="D8">
        <v>0.26130757849943198</v>
      </c>
      <c r="E8">
        <v>8.2820761188340905E-2</v>
      </c>
      <c r="F8">
        <v>7.5595042722628306E-2</v>
      </c>
      <c r="G8">
        <v>0</v>
      </c>
      <c r="H8">
        <v>0.475080097150964</v>
      </c>
      <c r="I8">
        <v>1.0975493606026799E-2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0.27780412182728198</v>
      </c>
      <c r="E9">
        <v>8.9291343307587603E-2</v>
      </c>
      <c r="F9">
        <v>8.1906480085290806E-2</v>
      </c>
      <c r="G9">
        <v>0</v>
      </c>
      <c r="H9">
        <v>0.54322040082674306</v>
      </c>
      <c r="I9">
        <v>1.15581509372509E-2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0.22497923666845901</v>
      </c>
      <c r="D10">
        <v>0.293881030094228</v>
      </c>
      <c r="E10">
        <v>9.56753849985746E-2</v>
      </c>
      <c r="F10">
        <v>8.82769679824537E-2</v>
      </c>
      <c r="G10">
        <v>0</v>
      </c>
      <c r="H10">
        <v>0.61142831892488603</v>
      </c>
      <c r="I10">
        <v>1.21471824173198E-2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</v>
      </c>
      <c r="D11">
        <v>0.30955301482863801</v>
      </c>
      <c r="E11">
        <v>0.10197507140489601</v>
      </c>
      <c r="F11">
        <v>9.4706975509510405E-2</v>
      </c>
      <c r="G11">
        <v>0</v>
      </c>
      <c r="H11">
        <v>0.679704227596719</v>
      </c>
      <c r="I11">
        <v>1.27425880462323E-2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0.24879601161759901</v>
      </c>
      <c r="D12">
        <v>0.33417771859324702</v>
      </c>
      <c r="E12">
        <v>0.11323118814550701</v>
      </c>
      <c r="F12">
        <v>0.10666291681898001</v>
      </c>
      <c r="G12">
        <v>0</v>
      </c>
      <c r="H12">
        <v>0.74804815942090097</v>
      </c>
      <c r="I12">
        <v>1.8810359790653E-2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0.26407974771648302</v>
      </c>
      <c r="D13">
        <v>0.35800394062324598</v>
      </c>
      <c r="E13">
        <v>0.12433496545162399</v>
      </c>
      <c r="F13">
        <v>0.118749850158408</v>
      </c>
      <c r="G13">
        <v>0</v>
      </c>
      <c r="H13">
        <v>0.81646023079441599</v>
      </c>
      <c r="I13">
        <v>2.0035783160861201E-2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0.278111614972754</v>
      </c>
      <c r="D14">
        <v>0.38104360927605402</v>
      </c>
      <c r="E14">
        <v>0.13528799629292401</v>
      </c>
      <c r="F14">
        <v>0.130968117498338</v>
      </c>
      <c r="G14">
        <v>0</v>
      </c>
      <c r="H14">
        <v>0.88493999307285998</v>
      </c>
      <c r="I14">
        <v>2.1274647704607599E-2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0.29095688272655001</v>
      </c>
      <c r="D15">
        <v>0.40331033301438901</v>
      </c>
      <c r="E15">
        <v>0.14609171434212001</v>
      </c>
      <c r="F15">
        <v>0.14331802661225601</v>
      </c>
      <c r="G15">
        <v>0</v>
      </c>
      <c r="H15">
        <v>0.95348747510454002</v>
      </c>
      <c r="I15">
        <v>2.2526953421891999E-2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0.30268174614797499</v>
      </c>
      <c r="D16">
        <v>0.42481928667098101</v>
      </c>
      <c r="E16">
        <v>0.156747409904652</v>
      </c>
      <c r="F16">
        <v>0.15579985449630401</v>
      </c>
      <c r="G16">
        <v>0</v>
      </c>
      <c r="H16">
        <v>1.0221033853022901</v>
      </c>
      <c r="I16">
        <v>2.3792700312714899E-2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0.314378347668057</v>
      </c>
      <c r="D17">
        <v>0.44701412007840102</v>
      </c>
      <c r="E17">
        <v>0.168253282699938</v>
      </c>
      <c r="F17">
        <v>0.16957380494591101</v>
      </c>
      <c r="G17">
        <v>0</v>
      </c>
      <c r="H17">
        <v>1.0907867488468199</v>
      </c>
      <c r="I17">
        <v>2.6232307992260701E-2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0.32494613008898099</v>
      </c>
      <c r="D18">
        <v>0.46841004387162599</v>
      </c>
      <c r="E18">
        <v>0.17959649697243099</v>
      </c>
      <c r="F18">
        <v>0.183494262623631</v>
      </c>
      <c r="G18">
        <v>0</v>
      </c>
      <c r="H18">
        <v>1.1595383552415901</v>
      </c>
      <c r="I18">
        <v>2.76555125909154E-2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0.33445428502945501</v>
      </c>
      <c r="D19">
        <v>0.48902455341801399</v>
      </c>
      <c r="E19">
        <v>0.190778202657123</v>
      </c>
      <c r="F19">
        <v>0.19756147132011301</v>
      </c>
      <c r="G19">
        <v>0</v>
      </c>
      <c r="H19">
        <v>1.2283572718835301</v>
      </c>
      <c r="I19">
        <v>2.9093611703031898E-2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0.34297157823989299</v>
      </c>
      <c r="D20">
        <v>0.50887661305596799</v>
      </c>
      <c r="E20">
        <v>0.20179943469550701</v>
      </c>
      <c r="F20">
        <v>0.21177565044694499</v>
      </c>
      <c r="G20">
        <v>0</v>
      </c>
      <c r="H20">
        <v>1.29724427100256</v>
      </c>
      <c r="I20">
        <v>3.0546605328610602E-2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0.35056583680147302</v>
      </c>
      <c r="D21">
        <v>0.52798650801626301</v>
      </c>
      <c r="E21">
        <v>0.212661124534925</v>
      </c>
      <c r="F21">
        <v>0.22613699747455299</v>
      </c>
      <c r="G21">
        <v>0</v>
      </c>
      <c r="H21">
        <v>1.3661985358453801</v>
      </c>
      <c r="I21">
        <v>3.2014493467651103E-2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0.34743457692054103</v>
      </c>
      <c r="D22">
        <v>0.53502156906192</v>
      </c>
      <c r="E22">
        <v>0.21633023138034699</v>
      </c>
      <c r="F22">
        <v>0.23189981964661799</v>
      </c>
      <c r="G22">
        <v>0</v>
      </c>
      <c r="H22">
        <v>1.4352204684295899</v>
      </c>
      <c r="I22">
        <v>2.4751405640450998E-2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0.34449081675425502</v>
      </c>
      <c r="D23">
        <v>0.54203455608453799</v>
      </c>
      <c r="E23">
        <v>0.21994917765834399</v>
      </c>
      <c r="F23">
        <v>0.237703937327715</v>
      </c>
      <c r="G23">
        <v>0</v>
      </c>
      <c r="H23">
        <v>1.50430981420969</v>
      </c>
      <c r="I23">
        <v>2.5268285692270499E-2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0.34173386574757397</v>
      </c>
      <c r="D24">
        <v>0.54903173633765601</v>
      </c>
      <c r="E24">
        <v>0.22351864239402799</v>
      </c>
      <c r="F24">
        <v>0.24354949447378499</v>
      </c>
      <c r="G24">
        <v>0</v>
      </c>
      <c r="H24">
        <v>1.57346663414433</v>
      </c>
      <c r="I24">
        <v>2.57894392509345E-2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0.33916258972257501</v>
      </c>
      <c r="D25">
        <v>0.55601897918417698</v>
      </c>
      <c r="E25">
        <v>0.22703923671000101</v>
      </c>
      <c r="F25">
        <v>0.24943662064517499</v>
      </c>
      <c r="G25">
        <v>0</v>
      </c>
      <c r="H25">
        <v>1.6426906603488001</v>
      </c>
      <c r="I25">
        <v>2.63148663164425E-2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0.33677546608268599</v>
      </c>
      <c r="D26">
        <v>0.56300177297519804</v>
      </c>
      <c r="E26">
        <v>0.23051151061660499</v>
      </c>
      <c r="F26">
        <v>0.25536543244619703</v>
      </c>
      <c r="G26">
        <v>0</v>
      </c>
      <c r="H26">
        <v>1.7119816847925899</v>
      </c>
      <c r="I26">
        <v>2.68445668887951E-2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0.33643657404006699</v>
      </c>
      <c r="D27">
        <v>0.56652431353207</v>
      </c>
      <c r="E27">
        <v>0.23202718776586001</v>
      </c>
      <c r="F27">
        <v>0.25625230499359902</v>
      </c>
      <c r="G27">
        <v>0</v>
      </c>
      <c r="H27">
        <v>1.7119816847925899</v>
      </c>
      <c r="I27">
        <v>2.2423415792021801E-2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1.9912566412646601E-2</v>
      </c>
      <c r="D3">
        <v>4.8460534563352801E-2</v>
      </c>
      <c r="E3">
        <v>2.2520833333333299E-2</v>
      </c>
      <c r="F3">
        <v>2.0520833333333301E-2</v>
      </c>
      <c r="G3">
        <v>0</v>
      </c>
      <c r="H3">
        <v>0.13539852345039699</v>
      </c>
      <c r="I3">
        <v>4.8208333333333298E-3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3.4261644101246803E-2</v>
      </c>
      <c r="D4">
        <v>7.6428590828980805E-2</v>
      </c>
      <c r="E4">
        <v>2.9041666666666702E-2</v>
      </c>
      <c r="F4">
        <v>2.6041666666666699E-2</v>
      </c>
      <c r="G4">
        <v>0</v>
      </c>
      <c r="H4">
        <v>0.20319958603028701</v>
      </c>
      <c r="I4">
        <v>5.1729166666666703E-3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4.8639414775819997E-2</v>
      </c>
      <c r="D5">
        <v>0.104405777936715</v>
      </c>
      <c r="E5">
        <v>3.5562499999999997E-2</v>
      </c>
      <c r="F5">
        <v>3.15625E-2</v>
      </c>
      <c r="G5">
        <v>0</v>
      </c>
      <c r="H5">
        <v>0.27106781689211501</v>
      </c>
      <c r="I5">
        <v>5.5250000000000004E-3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0.13273300310045699</v>
      </c>
      <c r="E6">
        <v>4.2083333333333299E-2</v>
      </c>
      <c r="F6">
        <v>3.7083333333333302E-2</v>
      </c>
      <c r="G6">
        <v>0</v>
      </c>
      <c r="H6">
        <v>0.33900402892857001</v>
      </c>
      <c r="I6">
        <v>5.8770833333333401E-3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7.3790870975046996E-2</v>
      </c>
      <c r="D7">
        <v>0.15027472667841599</v>
      </c>
      <c r="E7">
        <v>4.7664266661013199E-2</v>
      </c>
      <c r="F7">
        <v>4.2082646714034597E-2</v>
      </c>
      <c r="G7">
        <v>0</v>
      </c>
      <c r="H7">
        <v>0.40700858300437598</v>
      </c>
      <c r="I7">
        <v>6.7076467140346598E-3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8.3292130686310806E-2</v>
      </c>
      <c r="D8">
        <v>0.16733787297611899</v>
      </c>
      <c r="E8">
        <v>5.3193440922977002E-2</v>
      </c>
      <c r="F8">
        <v>4.7132961042042697E-2</v>
      </c>
      <c r="G8">
        <v>0</v>
      </c>
      <c r="H8">
        <v>0.475080097150964</v>
      </c>
      <c r="I8">
        <v>7.1585789994115297E-3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9.2020146240669606E-2</v>
      </c>
      <c r="D9">
        <v>0.18393577187875601</v>
      </c>
      <c r="E9">
        <v>5.86708561192247E-2</v>
      </c>
      <c r="F9">
        <v>5.2234276317357498E-2</v>
      </c>
      <c r="G9">
        <v>0</v>
      </c>
      <c r="H9">
        <v>0.54322040082674306</v>
      </c>
      <c r="I9">
        <v>7.6146113795190996E-3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0.10002130971421801</v>
      </c>
      <c r="D10">
        <v>0.20008210609707899</v>
      </c>
      <c r="E10">
        <v>6.4096512249756293E-2</v>
      </c>
      <c r="F10">
        <v>5.7386592539979103E-2</v>
      </c>
      <c r="G10">
        <v>0</v>
      </c>
      <c r="H10">
        <v>0.61142831892488603</v>
      </c>
      <c r="I10">
        <v>8.0757438543573295E-3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0.10734106388150901</v>
      </c>
      <c r="D11">
        <v>0.21579084785792699</v>
      </c>
      <c r="E11">
        <v>6.9470409314571893E-2</v>
      </c>
      <c r="F11">
        <v>6.2589909709907396E-2</v>
      </c>
      <c r="G11">
        <v>0</v>
      </c>
      <c r="H11">
        <v>0.679704227596719</v>
      </c>
      <c r="I11">
        <v>8.5419764239262393E-3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0.114463478763563</v>
      </c>
      <c r="D12">
        <v>0.23148673594202801</v>
      </c>
      <c r="E12">
        <v>7.4792547313671395E-2</v>
      </c>
      <c r="F12">
        <v>6.78442278271425E-2</v>
      </c>
      <c r="G12">
        <v>0</v>
      </c>
      <c r="H12">
        <v>0.74804815942090097</v>
      </c>
      <c r="I12">
        <v>9.0133090882258404E-3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</v>
      </c>
      <c r="D13">
        <v>0.24676132524184599</v>
      </c>
      <c r="E13">
        <v>8.00629262470548E-2</v>
      </c>
      <c r="F13">
        <v>7.3149546891684306E-2</v>
      </c>
      <c r="G13">
        <v>0</v>
      </c>
      <c r="H13">
        <v>0.81646023079441599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0.12687411724945899</v>
      </c>
      <c r="D14">
        <v>0.26162794764515801</v>
      </c>
      <c r="E14">
        <v>8.5281546114722204E-2</v>
      </c>
      <c r="F14">
        <v>7.8505866903532895E-2</v>
      </c>
      <c r="G14">
        <v>0</v>
      </c>
      <c r="H14">
        <v>0.88493999307285998</v>
      </c>
      <c r="I14">
        <v>9.9712747010170504E-3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</v>
      </c>
      <c r="D15">
        <v>0.27610012606491202</v>
      </c>
      <c r="E15">
        <v>9.0448406916673496E-2</v>
      </c>
      <c r="F15">
        <v>8.3913187862688296E-2</v>
      </c>
      <c r="G15">
        <v>0</v>
      </c>
      <c r="H15">
        <v>0.95348747510454002</v>
      </c>
      <c r="I15">
        <v>1.04579076495086E-2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0.13710693352494499</v>
      </c>
      <c r="D16">
        <v>0.29019152667452802</v>
      </c>
      <c r="E16">
        <v>9.5563508652908802E-2</v>
      </c>
      <c r="F16">
        <v>8.9371509769150301E-2</v>
      </c>
      <c r="G16">
        <v>0</v>
      </c>
      <c r="H16">
        <v>1.0221033853022901</v>
      </c>
      <c r="I16">
        <v>1.09496406927309E-2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</v>
      </c>
      <c r="D17">
        <v>0.303997298057188</v>
      </c>
      <c r="E17">
        <v>0.100626851323428</v>
      </c>
      <c r="F17">
        <v>9.4880832622919201E-2</v>
      </c>
      <c r="G17">
        <v>0</v>
      </c>
      <c r="H17">
        <v>1.0907867488468199</v>
      </c>
      <c r="I17">
        <v>1.1446473830683901E-2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0.14561582261175399</v>
      </c>
      <c r="D18">
        <v>0.31744785417330201</v>
      </c>
      <c r="E18">
        <v>0.105638434928231</v>
      </c>
      <c r="F18">
        <v>0.100441156423995</v>
      </c>
      <c r="G18">
        <v>0</v>
      </c>
      <c r="H18">
        <v>1.1595383552415901</v>
      </c>
      <c r="I18">
        <v>1.19484070633675E-2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0.149247359615749</v>
      </c>
      <c r="D19">
        <v>0.330556694659079</v>
      </c>
      <c r="E19">
        <v>0.11059825946731799</v>
      </c>
      <c r="F19">
        <v>0.10605248117237701</v>
      </c>
      <c r="G19">
        <v>0</v>
      </c>
      <c r="H19">
        <v>1.2283572718835301</v>
      </c>
      <c r="I19">
        <v>1.2455440390781799E-2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0.15250772267800999</v>
      </c>
      <c r="D20">
        <v>0.34333731818024998</v>
      </c>
      <c r="E20">
        <v>0.11550632494068901</v>
      </c>
      <c r="F20">
        <v>0.11171480686806599</v>
      </c>
      <c r="G20">
        <v>0</v>
      </c>
      <c r="H20">
        <v>1.29724427100256</v>
      </c>
      <c r="I20">
        <v>1.29675738129268E-2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0.155428111556459</v>
      </c>
      <c r="D21">
        <v>0.35580318485308798</v>
      </c>
      <c r="E21">
        <v>0.120362631348344</v>
      </c>
      <c r="F21">
        <v>0.117428133511062</v>
      </c>
      <c r="G21">
        <v>0</v>
      </c>
      <c r="H21">
        <v>1.3661985358453801</v>
      </c>
      <c r="I21">
        <v>1.3484807329802499E-2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0.15757322795574299</v>
      </c>
      <c r="D22">
        <v>0.36741810440610101</v>
      </c>
      <c r="E22">
        <v>0.12516717869028299</v>
      </c>
      <c r="F22">
        <v>0.123192461101365</v>
      </c>
      <c r="G22">
        <v>0</v>
      </c>
      <c r="H22">
        <v>1.4352204684295899</v>
      </c>
      <c r="I22">
        <v>1.4007140941408799E-2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0.15948449821949501</v>
      </c>
      <c r="D23">
        <v>0.37877612706258201</v>
      </c>
      <c r="E23">
        <v>0.12991996696650601</v>
      </c>
      <c r="F23">
        <v>0.129007789638974</v>
      </c>
      <c r="G23">
        <v>0</v>
      </c>
      <c r="H23">
        <v>1.50430981420969</v>
      </c>
      <c r="I23">
        <v>1.45345746477459E-2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0.16118551929411401</v>
      </c>
      <c r="D24">
        <v>0.38989020013452302</v>
      </c>
      <c r="E24">
        <v>0.13462099617701301</v>
      </c>
      <c r="F24">
        <v>0.13487411912389</v>
      </c>
      <c r="G24">
        <v>0</v>
      </c>
      <c r="H24">
        <v>1.57346663414433</v>
      </c>
      <c r="I24">
        <v>1.50671084488136E-2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0.16269837422896399</v>
      </c>
      <c r="D25">
        <v>0.400772956191429</v>
      </c>
      <c r="E25">
        <v>0.139270266321803</v>
      </c>
      <c r="F25">
        <v>0.140791449556113</v>
      </c>
      <c r="G25">
        <v>0</v>
      </c>
      <c r="H25">
        <v>1.6426906603488001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0.16404368740296499</v>
      </c>
      <c r="D26">
        <v>0.41143669784085901</v>
      </c>
      <c r="E26">
        <v>0.143867777400878</v>
      </c>
      <c r="F26">
        <v>0.14675978093564301</v>
      </c>
      <c r="G26">
        <v>0</v>
      </c>
      <c r="H26">
        <v>1.7119816847925899</v>
      </c>
      <c r="I26">
        <v>1.6147476335140999E-2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0.16075839967121799</v>
      </c>
      <c r="D27">
        <v>0.41004224835299502</v>
      </c>
      <c r="E27">
        <v>0.14445168223892299</v>
      </c>
      <c r="F27">
        <v>0.14284739082811701</v>
      </c>
      <c r="G27">
        <v>0</v>
      </c>
      <c r="H27">
        <v>1.7119816847925899</v>
      </c>
      <c r="I27">
        <v>9.5777425597999895E-3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7"/>
  <sheetViews>
    <sheetView workbookViewId="0">
      <selection activeCell="G22" sqref="G22"/>
    </sheetView>
  </sheetViews>
  <sheetFormatPr defaultRowHeight="15" x14ac:dyDescent="0.25"/>
  <cols>
    <col min="1" max="1" width="7" customWidth="1"/>
    <col min="2" max="2" width="5.140625" customWidth="1"/>
    <col min="3" max="6" width="13.7109375" customWidth="1"/>
    <col min="7" max="7" width="12" customWidth="1"/>
    <col min="8" max="8" width="13.7109375" customWidth="1"/>
    <col min="9" max="9" width="14.7109375" customWidth="1"/>
    <col min="10" max="11" width="15.5703125" customWidth="1"/>
    <col min="12" max="12" width="15.7109375" customWidth="1"/>
  </cols>
  <sheetData>
    <row r="1" spans="1:12" x14ac:dyDescent="0.25">
      <c r="A1" t="s">
        <v>144</v>
      </c>
      <c r="B1" t="s">
        <v>22</v>
      </c>
      <c r="C1" t="s">
        <v>109</v>
      </c>
      <c r="D1" t="s">
        <v>12</v>
      </c>
      <c r="E1" t="s">
        <v>145</v>
      </c>
      <c r="F1" t="s">
        <v>146</v>
      </c>
      <c r="G1" t="s">
        <v>147</v>
      </c>
      <c r="H1" t="s">
        <v>115</v>
      </c>
      <c r="I1" t="s">
        <v>113</v>
      </c>
      <c r="J1" t="s">
        <v>148</v>
      </c>
      <c r="K1" t="s">
        <v>149</v>
      </c>
      <c r="L1" t="s">
        <v>7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6.7665190508490305E-2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1.9912566412646601E-2</v>
      </c>
      <c r="D3">
        <v>4.8460534563352801E-2</v>
      </c>
      <c r="E3">
        <v>2.2520833333333299E-2</v>
      </c>
      <c r="F3">
        <v>2.0520833333333301E-2</v>
      </c>
      <c r="G3">
        <v>0</v>
      </c>
      <c r="H3">
        <v>0.13539852345039699</v>
      </c>
      <c r="I3">
        <v>4.8208333333333298E-3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3.4261644101246803E-2</v>
      </c>
      <c r="D4">
        <v>7.6428590828980805E-2</v>
      </c>
      <c r="E4">
        <v>2.9041666666666702E-2</v>
      </c>
      <c r="F4">
        <v>2.6041666666666699E-2</v>
      </c>
      <c r="G4">
        <v>0</v>
      </c>
      <c r="H4">
        <v>0.20319958603028701</v>
      </c>
      <c r="I4">
        <v>5.1729166666666703E-3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4.8639414775819997E-2</v>
      </c>
      <c r="D5">
        <v>0.104405777936715</v>
      </c>
      <c r="E5">
        <v>3.5562499999999997E-2</v>
      </c>
      <c r="F5">
        <v>3.15625E-2</v>
      </c>
      <c r="G5">
        <v>0</v>
      </c>
      <c r="H5">
        <v>0.27106781689211501</v>
      </c>
      <c r="I5">
        <v>5.5250000000000004E-3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0.13273300310045699</v>
      </c>
      <c r="E6">
        <v>4.2083333333333299E-2</v>
      </c>
      <c r="F6">
        <v>3.7083333333333302E-2</v>
      </c>
      <c r="G6">
        <v>0</v>
      </c>
      <c r="H6">
        <v>0.33900402892857001</v>
      </c>
      <c r="I6">
        <v>5.8770833333333401E-3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7.3790870975046996E-2</v>
      </c>
      <c r="D7">
        <v>0.15027472667841599</v>
      </c>
      <c r="E7">
        <v>4.7664266661013199E-2</v>
      </c>
      <c r="F7">
        <v>4.2082646714034597E-2</v>
      </c>
      <c r="G7">
        <v>0</v>
      </c>
      <c r="H7">
        <v>0.40700858300437598</v>
      </c>
      <c r="I7">
        <v>6.7076467140346598E-3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8.3292130686310806E-2</v>
      </c>
      <c r="D8">
        <v>0.16733787297611899</v>
      </c>
      <c r="E8">
        <v>5.3193440922977002E-2</v>
      </c>
      <c r="F8">
        <v>4.7132961042042697E-2</v>
      </c>
      <c r="G8">
        <v>0</v>
      </c>
      <c r="H8">
        <v>0.475080097150964</v>
      </c>
      <c r="I8">
        <v>7.1585789994115297E-3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9.2020146240669606E-2</v>
      </c>
      <c r="D9">
        <v>0.18393577187875601</v>
      </c>
      <c r="E9">
        <v>5.86708561192247E-2</v>
      </c>
      <c r="F9">
        <v>5.2234276317357498E-2</v>
      </c>
      <c r="G9">
        <v>0</v>
      </c>
      <c r="H9">
        <v>0.54322040082674306</v>
      </c>
      <c r="I9">
        <v>7.6146113795190996E-3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0.10002130971421801</v>
      </c>
      <c r="D10">
        <v>0.20008210609707899</v>
      </c>
      <c r="E10">
        <v>6.4096512249756293E-2</v>
      </c>
      <c r="F10">
        <v>5.7386592539979103E-2</v>
      </c>
      <c r="G10">
        <v>0</v>
      </c>
      <c r="H10">
        <v>0.61142831892488603</v>
      </c>
      <c r="I10">
        <v>8.0757438543573295E-3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0.10734106388150901</v>
      </c>
      <c r="D11">
        <v>0.21579084785792699</v>
      </c>
      <c r="E11">
        <v>6.9470409314571893E-2</v>
      </c>
      <c r="F11">
        <v>6.2589909709907396E-2</v>
      </c>
      <c r="G11">
        <v>0</v>
      </c>
      <c r="H11">
        <v>0.679704227596719</v>
      </c>
      <c r="I11">
        <v>8.5419764239262393E-3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0.114463478763563</v>
      </c>
      <c r="D12">
        <v>0.23148673594202801</v>
      </c>
      <c r="E12">
        <v>7.4792547313671395E-2</v>
      </c>
      <c r="F12">
        <v>6.78442278271425E-2</v>
      </c>
      <c r="G12">
        <v>0</v>
      </c>
      <c r="H12">
        <v>0.74804815942090097</v>
      </c>
      <c r="I12">
        <v>9.0133090882258404E-3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</v>
      </c>
      <c r="D13">
        <v>0.24676132524184599</v>
      </c>
      <c r="E13">
        <v>8.00629262470548E-2</v>
      </c>
      <c r="F13">
        <v>7.3149546891684306E-2</v>
      </c>
      <c r="G13">
        <v>0</v>
      </c>
      <c r="H13">
        <v>0.81646023079441599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0.12687411724945899</v>
      </c>
      <c r="D14">
        <v>0.26162794764515801</v>
      </c>
      <c r="E14">
        <v>8.5281546114722204E-2</v>
      </c>
      <c r="F14">
        <v>7.8505866903532895E-2</v>
      </c>
      <c r="G14">
        <v>0</v>
      </c>
      <c r="H14">
        <v>0.88493999307285998</v>
      </c>
      <c r="I14">
        <v>9.9712747010170504E-3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</v>
      </c>
      <c r="D15">
        <v>0.27610012606491202</v>
      </c>
      <c r="E15">
        <v>9.0448406916673496E-2</v>
      </c>
      <c r="F15">
        <v>8.3913187862688296E-2</v>
      </c>
      <c r="G15">
        <v>0</v>
      </c>
      <c r="H15">
        <v>0.95348747510454002</v>
      </c>
      <c r="I15">
        <v>1.04579076495086E-2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0.13710693352494499</v>
      </c>
      <c r="D16">
        <v>0.29019152667452802</v>
      </c>
      <c r="E16">
        <v>9.5563508652908802E-2</v>
      </c>
      <c r="F16">
        <v>8.9371509769150301E-2</v>
      </c>
      <c r="G16">
        <v>0</v>
      </c>
      <c r="H16">
        <v>1.0221033853022901</v>
      </c>
      <c r="I16">
        <v>1.09496406927309E-2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</v>
      </c>
      <c r="D17">
        <v>0.303997298057188</v>
      </c>
      <c r="E17">
        <v>0.100626851323428</v>
      </c>
      <c r="F17">
        <v>9.4880832622919201E-2</v>
      </c>
      <c r="G17">
        <v>0</v>
      </c>
      <c r="H17">
        <v>1.0907867488468199</v>
      </c>
      <c r="I17">
        <v>1.1446473830683901E-2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0.14561582261175399</v>
      </c>
      <c r="D18">
        <v>0.31744785417330201</v>
      </c>
      <c r="E18">
        <v>0.105638434928231</v>
      </c>
      <c r="F18">
        <v>0.100441156423995</v>
      </c>
      <c r="G18">
        <v>0</v>
      </c>
      <c r="H18">
        <v>1.1595383552415901</v>
      </c>
      <c r="I18">
        <v>1.19484070633675E-2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0.149247359615749</v>
      </c>
      <c r="D19">
        <v>0.330556694659079</v>
      </c>
      <c r="E19">
        <v>0.11059825946731799</v>
      </c>
      <c r="F19">
        <v>0.10605248117237701</v>
      </c>
      <c r="G19">
        <v>0</v>
      </c>
      <c r="H19">
        <v>1.2283572718835301</v>
      </c>
      <c r="I19">
        <v>1.2455440390781799E-2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0.15250772267800999</v>
      </c>
      <c r="D20">
        <v>0.34333731818024998</v>
      </c>
      <c r="E20">
        <v>0.11550632494068901</v>
      </c>
      <c r="F20">
        <v>0.11171480686806599</v>
      </c>
      <c r="G20">
        <v>0</v>
      </c>
      <c r="H20">
        <v>1.29724427100256</v>
      </c>
      <c r="I20">
        <v>1.29675738129268E-2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0.155428111556459</v>
      </c>
      <c r="D21">
        <v>0.35580318485308798</v>
      </c>
      <c r="E21">
        <v>0.120362631348344</v>
      </c>
      <c r="F21">
        <v>0.117428133511062</v>
      </c>
      <c r="G21">
        <v>0</v>
      </c>
      <c r="H21">
        <v>1.3661985358453801</v>
      </c>
      <c r="I21">
        <v>1.3484807329802499E-2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0.15757322795574299</v>
      </c>
      <c r="D22">
        <v>0.36741810440610101</v>
      </c>
      <c r="E22">
        <v>0.12516717869028299</v>
      </c>
      <c r="F22">
        <v>0.123192461101365</v>
      </c>
      <c r="G22">
        <v>0</v>
      </c>
      <c r="H22">
        <v>1.4352204684295899</v>
      </c>
      <c r="I22">
        <v>1.4007140941408799E-2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0.15948449821949501</v>
      </c>
      <c r="D23">
        <v>0.37877612706258201</v>
      </c>
      <c r="E23">
        <v>0.12991996696650601</v>
      </c>
      <c r="F23">
        <v>0.129007789638974</v>
      </c>
      <c r="G23">
        <v>0</v>
      </c>
      <c r="H23">
        <v>1.50430981420969</v>
      </c>
      <c r="I23">
        <v>1.45345746477459E-2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0.16118551929411401</v>
      </c>
      <c r="D24">
        <v>0.38989020013452302</v>
      </c>
      <c r="E24">
        <v>0.13462099617701301</v>
      </c>
      <c r="F24">
        <v>0.13487411912389</v>
      </c>
      <c r="G24">
        <v>0</v>
      </c>
      <c r="H24">
        <v>1.57346663414433</v>
      </c>
      <c r="I24">
        <v>1.50671084488136E-2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0.16269837422896399</v>
      </c>
      <c r="D25">
        <v>0.400772956191429</v>
      </c>
      <c r="E25">
        <v>0.139270266321803</v>
      </c>
      <c r="F25">
        <v>0.140791449556113</v>
      </c>
      <c r="G25">
        <v>0</v>
      </c>
      <c r="H25">
        <v>1.6426906603488001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0.16404368740296499</v>
      </c>
      <c r="D26">
        <v>0.41143669784085901</v>
      </c>
      <c r="E26">
        <v>0.143867777400878</v>
      </c>
      <c r="F26">
        <v>0.14675978093564301</v>
      </c>
      <c r="G26">
        <v>0</v>
      </c>
      <c r="H26">
        <v>1.7119816847925899</v>
      </c>
      <c r="I26">
        <v>1.6147476335140999E-2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0.16075839967121799</v>
      </c>
      <c r="D27">
        <v>0.41004224835299502</v>
      </c>
      <c r="E27">
        <v>0.14445168223892299</v>
      </c>
      <c r="F27">
        <v>0.14284739082811701</v>
      </c>
      <c r="G27">
        <v>0</v>
      </c>
      <c r="H27">
        <v>1.7119816847925899</v>
      </c>
      <c r="I27">
        <v>9.5777425597999895E-3</v>
      </c>
      <c r="J27">
        <v>1</v>
      </c>
      <c r="K27">
        <v>1</v>
      </c>
      <c r="L27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7"/>
  <sheetViews>
    <sheetView workbookViewId="0">
      <selection activeCell="G22" sqref="G22"/>
    </sheetView>
  </sheetViews>
  <sheetFormatPr defaultRowHeight="15" x14ac:dyDescent="0.25"/>
  <cols>
    <col min="1" max="1" width="5.5703125" customWidth="1"/>
    <col min="2" max="2" width="16.85546875" customWidth="1"/>
    <col min="3" max="3" width="12.85546875" customWidth="1"/>
    <col min="4" max="4" width="15.7109375" customWidth="1"/>
  </cols>
  <sheetData>
    <row r="1" spans="1:4" x14ac:dyDescent="0.25">
      <c r="A1" t="s">
        <v>5</v>
      </c>
      <c r="B1" t="s">
        <v>152</v>
      </c>
      <c r="C1" t="s">
        <v>153</v>
      </c>
      <c r="D1" t="s">
        <v>7</v>
      </c>
    </row>
    <row r="2" spans="1:4" x14ac:dyDescent="0.25">
      <c r="A2">
        <v>2</v>
      </c>
      <c r="B2">
        <v>0</v>
      </c>
      <c r="C2">
        <v>0</v>
      </c>
      <c r="D2">
        <v>1</v>
      </c>
    </row>
    <row r="3" spans="1:4" x14ac:dyDescent="0.25">
      <c r="A3">
        <v>3</v>
      </c>
      <c r="B3">
        <v>0</v>
      </c>
      <c r="C3">
        <v>0</v>
      </c>
      <c r="D3">
        <v>1</v>
      </c>
    </row>
    <row r="4" spans="1:4" x14ac:dyDescent="0.25">
      <c r="A4">
        <v>4</v>
      </c>
      <c r="B4">
        <v>0</v>
      </c>
      <c r="C4">
        <v>0</v>
      </c>
      <c r="D4">
        <v>1</v>
      </c>
    </row>
    <row r="5" spans="1:4" x14ac:dyDescent="0.25">
      <c r="A5">
        <v>5</v>
      </c>
      <c r="B5">
        <v>1</v>
      </c>
      <c r="C5">
        <v>-0.5</v>
      </c>
      <c r="D5">
        <v>1</v>
      </c>
    </row>
    <row r="6" spans="1:4" x14ac:dyDescent="0.25">
      <c r="A6">
        <v>6</v>
      </c>
      <c r="B6">
        <v>0</v>
      </c>
      <c r="C6">
        <v>0</v>
      </c>
      <c r="D6">
        <v>1</v>
      </c>
    </row>
    <row r="7" spans="1:4" x14ac:dyDescent="0.25">
      <c r="A7">
        <v>7</v>
      </c>
      <c r="B7">
        <v>0</v>
      </c>
      <c r="C7">
        <v>0</v>
      </c>
      <c r="D7">
        <v>1</v>
      </c>
    </row>
    <row r="8" spans="1:4" x14ac:dyDescent="0.25">
      <c r="A8">
        <v>8</v>
      </c>
      <c r="B8">
        <v>0</v>
      </c>
      <c r="C8">
        <v>0</v>
      </c>
      <c r="D8">
        <v>1</v>
      </c>
    </row>
    <row r="9" spans="1:4" x14ac:dyDescent="0.25">
      <c r="A9">
        <v>9</v>
      </c>
      <c r="B9">
        <v>0</v>
      </c>
      <c r="C9">
        <v>0</v>
      </c>
      <c r="D9">
        <v>1</v>
      </c>
    </row>
    <row r="10" spans="1:4" x14ac:dyDescent="0.25">
      <c r="A10">
        <v>10</v>
      </c>
      <c r="B10">
        <v>0</v>
      </c>
      <c r="C10">
        <v>0</v>
      </c>
      <c r="D10">
        <v>1</v>
      </c>
    </row>
    <row r="11" spans="1:4" x14ac:dyDescent="0.25">
      <c r="A11">
        <v>11</v>
      </c>
      <c r="B11">
        <v>0</v>
      </c>
      <c r="C11">
        <v>0</v>
      </c>
      <c r="D11">
        <v>1</v>
      </c>
    </row>
    <row r="12" spans="1:4" x14ac:dyDescent="0.25">
      <c r="A12">
        <v>12</v>
      </c>
      <c r="B12">
        <v>0</v>
      </c>
      <c r="C12">
        <v>0</v>
      </c>
      <c r="D12">
        <v>1</v>
      </c>
    </row>
    <row r="13" spans="1:4" x14ac:dyDescent="0.25">
      <c r="A13">
        <v>13</v>
      </c>
      <c r="B13">
        <v>0</v>
      </c>
      <c r="C13">
        <v>0</v>
      </c>
      <c r="D13">
        <v>1</v>
      </c>
    </row>
    <row r="14" spans="1:4" x14ac:dyDescent="0.25">
      <c r="A14">
        <v>14</v>
      </c>
      <c r="B14">
        <v>0</v>
      </c>
      <c r="C14">
        <v>0</v>
      </c>
      <c r="D14">
        <v>1</v>
      </c>
    </row>
    <row r="15" spans="1:4" x14ac:dyDescent="0.25">
      <c r="A15">
        <v>15</v>
      </c>
      <c r="B15">
        <v>0</v>
      </c>
      <c r="C15">
        <v>0</v>
      </c>
      <c r="D15">
        <v>1</v>
      </c>
    </row>
    <row r="16" spans="1:4" x14ac:dyDescent="0.25">
      <c r="A16">
        <v>16</v>
      </c>
      <c r="B16">
        <v>0</v>
      </c>
      <c r="C16">
        <v>0</v>
      </c>
      <c r="D16">
        <v>1</v>
      </c>
    </row>
    <row r="17" spans="1:4" x14ac:dyDescent="0.25">
      <c r="A17">
        <v>17</v>
      </c>
      <c r="B17">
        <v>0</v>
      </c>
      <c r="C17">
        <v>0</v>
      </c>
      <c r="D17">
        <v>1</v>
      </c>
    </row>
    <row r="18" spans="1:4" x14ac:dyDescent="0.25">
      <c r="A18">
        <v>18</v>
      </c>
      <c r="B18">
        <v>0</v>
      </c>
      <c r="C18">
        <v>0</v>
      </c>
      <c r="D18">
        <v>1</v>
      </c>
    </row>
    <row r="19" spans="1:4" x14ac:dyDescent="0.25">
      <c r="A19">
        <v>19</v>
      </c>
      <c r="B19">
        <v>0</v>
      </c>
      <c r="C19">
        <v>0</v>
      </c>
      <c r="D19">
        <v>1</v>
      </c>
    </row>
    <row r="20" spans="1:4" x14ac:dyDescent="0.25">
      <c r="A20">
        <v>20</v>
      </c>
      <c r="B20">
        <v>0</v>
      </c>
      <c r="C20">
        <v>0</v>
      </c>
      <c r="D20">
        <v>1</v>
      </c>
    </row>
    <row r="21" spans="1:4" x14ac:dyDescent="0.25">
      <c r="A21">
        <v>21</v>
      </c>
      <c r="B21">
        <v>0</v>
      </c>
      <c r="C21">
        <v>0</v>
      </c>
      <c r="D21">
        <v>1</v>
      </c>
    </row>
    <row r="22" spans="1:4" x14ac:dyDescent="0.25">
      <c r="A22">
        <v>22</v>
      </c>
      <c r="B22">
        <v>0</v>
      </c>
      <c r="C22">
        <v>0</v>
      </c>
      <c r="D22">
        <v>1</v>
      </c>
    </row>
    <row r="23" spans="1:4" x14ac:dyDescent="0.25">
      <c r="A23">
        <v>23</v>
      </c>
      <c r="B23">
        <v>0</v>
      </c>
      <c r="C23">
        <v>0</v>
      </c>
      <c r="D23">
        <v>1</v>
      </c>
    </row>
    <row r="24" spans="1:4" x14ac:dyDescent="0.25">
      <c r="A24">
        <v>24</v>
      </c>
      <c r="B24">
        <v>0</v>
      </c>
      <c r="C24">
        <v>0</v>
      </c>
      <c r="D24">
        <v>1</v>
      </c>
    </row>
    <row r="25" spans="1:4" x14ac:dyDescent="0.25">
      <c r="A25">
        <v>25</v>
      </c>
      <c r="B25">
        <v>0</v>
      </c>
      <c r="C25">
        <v>0</v>
      </c>
      <c r="D25">
        <v>1</v>
      </c>
    </row>
    <row r="26" spans="1:4" x14ac:dyDescent="0.25">
      <c r="A26">
        <v>26</v>
      </c>
      <c r="B26">
        <v>0</v>
      </c>
      <c r="C26">
        <v>0</v>
      </c>
      <c r="D26">
        <v>1</v>
      </c>
    </row>
    <row r="27" spans="1:4" x14ac:dyDescent="0.25">
      <c r="A27">
        <v>27</v>
      </c>
      <c r="B27">
        <v>0</v>
      </c>
      <c r="C27">
        <v>0</v>
      </c>
      <c r="D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Baseline</vt:lpstr>
      <vt:lpstr>NZ</vt:lpstr>
      <vt:lpstr>EE_PDP8_ref</vt:lpstr>
      <vt:lpstr>EE_PDP8_ref_NoBESS</vt:lpstr>
      <vt:lpstr>EE_Dir10_full</vt:lpstr>
      <vt:lpstr>EE_Dir10_full_NoBESS</vt:lpstr>
      <vt:lpstr>EE_RTS_prerev_95GW</vt:lpstr>
      <vt:lpstr>EE_RTS_prerev_95GW_NoBESS</vt:lpstr>
      <vt:lpstr>EE_Dir10_RTSslice</vt:lpstr>
      <vt:lpstr>EE_Dir10_RTSslice_NoBESS</vt:lpstr>
      <vt:lpstr>EE_Dir10_EEonly</vt:lpstr>
      <vt:lpstr>EE_Dir10_EEonly_NoBESS</vt:lpstr>
      <vt:lpstr>PDP8_GF_A</vt:lpstr>
      <vt:lpstr>PDP8_GF_B</vt:lpstr>
      <vt:lpstr>PDP8_GF_C</vt:lpstr>
      <vt:lpstr>NZ_GF_A</vt:lpstr>
      <vt:lpstr>NZ_GF_B</vt:lpstr>
      <vt:lpstr>NZ_GF_C</vt:lpstr>
      <vt:lpstr>NZ_Dir10_full_GF_C</vt:lpstr>
      <vt:lpstr>NZ_subsidy_direct</vt:lpstr>
      <vt:lpstr>NZ_constEE</vt:lpstr>
      <vt:lpstr>NZ_constInt</vt:lpstr>
      <vt:lpstr>NZ_constEEInt</vt:lpstr>
      <vt:lpstr>NZ_subsidy</vt:lpstr>
      <vt:lpstr>NZ_Dir10_full</vt:lpstr>
      <vt:lpstr>NZ_Dir10_full_NoBESS</vt:lpstr>
      <vt:lpstr>NZ_RTS_prerev_95GW</vt:lpstr>
      <vt:lpstr>NZ_RTS_prerev_95GW_NoBESS</vt:lpstr>
      <vt:lpstr>ImportShock_Fossil2_P10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Schult, Christoph</cp:lastModifiedBy>
  <dcterms:created xsi:type="dcterms:W3CDTF">2026-09-11T13:40:30Z</dcterms:created>
  <dcterms:modified xsi:type="dcterms:W3CDTF">2026-09-29T11:29:58Z</dcterms:modified>
</cp:coreProperties>
</file>