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3a2c93ce427878e7/Dokumente/MATLAB/DGE_CRED_ENTRANCES/BETA/ExcelFiles/"/>
    </mc:Choice>
  </mc:AlternateContent>
  <xr:revisionPtr revIDLastSave="163" documentId="14_{D0BDFB96-3116-46D0-9176-6A7456CA1500}" xr6:coauthVersionLast="47" xr6:coauthVersionMax="47" xr10:uidLastSave="{4AE0656E-C12A-4EF1-B93B-33382DDAD9C5}"/>
  <bookViews>
    <workbookView xWindow="-28920" yWindow="780" windowWidth="29040" windowHeight="15720" activeTab="4" xr2:uid="{00000000-000D-0000-FFFF-FFFF00000000}"/>
  </bookViews>
  <sheets>
    <sheet name="Content" sheetId="1" r:id="rId1"/>
    <sheet name="Data" sheetId="2" r:id="rId2"/>
    <sheet name="Start" sheetId="3" r:id="rId3"/>
    <sheet name="Structural Parameters" sheetId="4" r:id="rId4"/>
    <sheet name="Baseline" sheetId="6" r:id="rId5"/>
  </sheets>
  <definedNames>
    <definedName name="H0_1_p">Data!$AD$2</definedName>
    <definedName name="LF0_1_p">Data!$AB$2</definedName>
    <definedName name="N0_1_p">Data!$AC$2</definedName>
    <definedName name="N0_p">Data!$AQ$2</definedName>
    <definedName name="P0_D_1_p">Data!$Z$2</definedName>
    <definedName name="P0_MR_1_p">Data!$Y$2</definedName>
    <definedName name="phiM_F_1_1_p">Data!$H$2</definedName>
    <definedName name="phiM_F_2_1_p">Data!$H$3</definedName>
    <definedName name="phiM_F_3_1_p">Data!$H$4</definedName>
    <definedName name="phiM_I_1_1_p">Data!$G$2</definedName>
    <definedName name="phiM_I_2_1_p">Data!$G$3</definedName>
    <definedName name="phiM_I_3_1_p">Data!$G$4</definedName>
    <definedName name="phiM_p">Data!$AQ$4</definedName>
    <definedName name="phiN0_1_1_p">Data!$C$2</definedName>
    <definedName name="phiN0_2_1_p">Data!$C$3</definedName>
    <definedName name="phiN0_3_1_p">Data!$C$4</definedName>
    <definedName name="phiQ_D_1_1_1_p">Data!$V$2</definedName>
    <definedName name="phiQ_D_2_1_1_p">Data!$V$3</definedName>
    <definedName name="phiQ_D_3_1_1_p">Data!$V$4</definedName>
    <definedName name="phiQI_1_1_1_p">Data!$P$2</definedName>
    <definedName name="phiQI_1_1_2_p">Data!$P$3</definedName>
    <definedName name="phiQI_1_1_3_p">Data!$P$4</definedName>
    <definedName name="phiQI_1_1_p">Data!$I$2</definedName>
    <definedName name="phiQI_2_1_1_p">Data!$P$5</definedName>
    <definedName name="phiQI_2_1_2_p">Data!$P$6</definedName>
    <definedName name="phiQI_2_1_3_p">Data!$P$7</definedName>
    <definedName name="phiQI_2_1_p">Data!$I$3</definedName>
    <definedName name="phiQI_3_1_1_p">Data!$P$8</definedName>
    <definedName name="phiQI_3_1_2_p">Data!$P$9</definedName>
    <definedName name="phiQI_3_1_3_p">Data!$P$10</definedName>
    <definedName name="phiQI_3_1_p">Data!$I$4</definedName>
    <definedName name="phiW_1_1_p">Data!$E$2</definedName>
    <definedName name="phiW_2_1_p">Data!$E$3</definedName>
    <definedName name="phiW_3_1_p">Data!$E$4</definedName>
    <definedName name="phiX_1_1_p">Data!$F$2</definedName>
    <definedName name="phiX_2_1_p">Data!$F$3</definedName>
    <definedName name="phiX_3_1_p">Data!$F$4</definedName>
    <definedName name="phiY0_1_1_p">Data!$D$2</definedName>
    <definedName name="phiY0_2_1_p">Data!$D$3</definedName>
    <definedName name="phiY0_3_1_p">Data!$D$4</definedName>
    <definedName name="PoP0_1_p">Data!$AA$2</definedName>
    <definedName name="pr0_1_p">Data!$AK$2</definedName>
    <definedName name="sE_1_1_p">Data!$J$2</definedName>
    <definedName name="sE_2_1_p">Data!$J$3</definedName>
    <definedName name="sE_3_1_p">Data!$J$4</definedName>
    <definedName name="sEI_1_1_1_p">Data!$Q$2</definedName>
    <definedName name="sEI_1_1_2_p">Data!$Q$3</definedName>
    <definedName name="sEI_1_1_3_p">Data!$Q$4</definedName>
    <definedName name="sEI_2_1_1_p">Data!$Q$5</definedName>
    <definedName name="sEI_2_1_2_p">Data!$Q$6</definedName>
    <definedName name="sEI_2_1_3_p">Data!$Q$7</definedName>
    <definedName name="sEI_3_1_1_p">Data!$Q$8</definedName>
    <definedName name="sEI_3_1_2_p">Data!$Q$9</definedName>
    <definedName name="sEI_3_1_3_p">Data!$Q$10</definedName>
    <definedName name="sfcWind0_1_p">Data!$AJ$2</definedName>
    <definedName name="sH_p">Data!$AQ$5</definedName>
    <definedName name="SL0_p">Data!$AN$2</definedName>
    <definedName name="tas0_1_p">Data!$AG$2</definedName>
    <definedName name="tasmax0_1_p">Data!$AH$2</definedName>
    <definedName name="tasmin0_1_p">Data!$AI$2</definedName>
    <definedName name="tauC_p">Data!$AQ$8</definedName>
    <definedName name="tauKH_p">Data!$AQ$7</definedName>
    <definedName name="tauNH_p">Data!$AQ$6</definedName>
    <definedName name="Y0_p">Data!$AQ$3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6" l="1"/>
  <c r="M12" i="6" s="1"/>
  <c r="M13" i="6" s="1"/>
  <c r="M14" i="6" s="1"/>
  <c r="M15" i="6" s="1"/>
  <c r="M16" i="6" s="1"/>
  <c r="M17" i="6" s="1"/>
  <c r="M18" i="6" s="1"/>
  <c r="M19" i="6" s="1"/>
  <c r="M20" i="6" s="1"/>
  <c r="B40" i="4"/>
  <c r="B39" i="4"/>
  <c r="B38" i="4"/>
  <c r="B8" i="3" l="1"/>
  <c r="B64" i="4"/>
  <c r="B63" i="4"/>
  <c r="B62" i="4"/>
  <c r="B60" i="4"/>
  <c r="B59" i="4"/>
  <c r="B58" i="4"/>
  <c r="B14" i="4"/>
  <c r="B25" i="3"/>
  <c r="B24" i="3"/>
  <c r="B20" i="3"/>
  <c r="B18" i="3"/>
  <c r="B14" i="3"/>
  <c r="B2" i="3"/>
  <c r="K5" i="2"/>
  <c r="L4" i="2"/>
  <c r="L3" i="2"/>
  <c r="L2" i="2"/>
  <c r="A6" i="1"/>
  <c r="A5" i="1"/>
  <c r="A4" i="1"/>
  <c r="A3" i="1"/>
  <c r="A2" i="1"/>
</calcChain>
</file>

<file path=xl/sharedStrings.xml><?xml version="1.0" encoding="utf-8"?>
<sst xmlns="http://schemas.openxmlformats.org/spreadsheetml/2006/main" count="353" uniqueCount="286">
  <si>
    <t>Sheets</t>
  </si>
  <si>
    <t>a sheet to store data used for calibration</t>
  </si>
  <si>
    <t>a sheet to assign values for the initial conditions</t>
  </si>
  <si>
    <t>a sheet to assign values for structural parameters</t>
  </si>
  <si>
    <t>a sheet for the baseline scenario</t>
  </si>
  <si>
    <t>a sheet for a specific scenario you want to run</t>
  </si>
  <si>
    <t>Regions</t>
  </si>
  <si>
    <t>VNM</t>
  </si>
  <si>
    <t>Sectors</t>
  </si>
  <si>
    <t>Agriculture</t>
  </si>
  <si>
    <t>Industry</t>
  </si>
  <si>
    <t>Services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</si>
  <si>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</si>
  <si>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</si>
  <si>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</si>
  <si>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</si>
  <si>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</si>
  <si>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</si>
  <si>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</si>
  <si>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</si>
  <si>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</si>
  <si>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</si>
  <si>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phiQ</t>
  </si>
  <si>
    <t>Subsector</t>
  </si>
  <si>
    <t>Sector of Origin</t>
  </si>
  <si>
    <t>intermediate input share (phiQI)</t>
  </si>
  <si>
    <t>share of emissions (sEI)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</si>
  <si>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</si>
  <si>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</si>
  <si>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</si>
  <si>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</si>
  <si>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</si>
  <si>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</si>
  <si>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</si>
  <si>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</si>
  <si>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</si>
  <si>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</si>
  <si>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initial maximum surface temperature (Celsius) (tasmax0)</t>
  </si>
  <si>
    <t>initial minimum surface temperature (Celsius) (tasmin0)</t>
  </si>
  <si>
    <t>initial surface wind speed (m/s) (sfcWind0)</t>
  </si>
  <si>
    <t>initial precipitation (mm) (pr0)</t>
  </si>
  <si>
    <t>Name</t>
  </si>
  <si>
    <t>Value</t>
  </si>
  <si>
    <t>enter value here</t>
  </si>
  <si>
    <t>initial Sea level</t>
  </si>
  <si>
    <t>initial employment</t>
  </si>
  <si>
    <t>initial value added</t>
  </si>
  <si>
    <t>import share</t>
  </si>
  <si>
    <t>investmetns in residential building relative to GDP</t>
  </si>
  <si>
    <t>tax on labour</t>
  </si>
  <si>
    <t>tax on capital income</t>
  </si>
  <si>
    <t>tax on consumption</t>
  </si>
  <si>
    <t>Parameter</t>
  </si>
  <si>
    <t>Description</t>
  </si>
  <si>
    <t>Y0_p</t>
  </si>
  <si>
    <t>initial GDP Source ADB</t>
  </si>
  <si>
    <t>Parameter values for initial employment</t>
  </si>
  <si>
    <t>PE0_1_p</t>
  </si>
  <si>
    <t>initial price for emissions</t>
  </si>
  <si>
    <t>E0_1_p</t>
  </si>
  <si>
    <t>initial emissions</t>
  </si>
  <si>
    <t>N0_1_p</t>
  </si>
  <si>
    <t>initial sum of hours worked to potential hours worked</t>
  </si>
  <si>
    <t>Parameter values for investmetns in residential building relative to GDP</t>
  </si>
  <si>
    <t>sH_1_p</t>
  </si>
  <si>
    <t>investmetns in residential building relative to GDP in  region 1</t>
  </si>
  <si>
    <t>Parameter values for initial population</t>
  </si>
  <si>
    <t>PoP0_1_p</t>
  </si>
  <si>
    <t>initial population in  region 1</t>
  </si>
  <si>
    <t>Parameter values for initial labour force</t>
  </si>
  <si>
    <t>LF0_1_p</t>
  </si>
  <si>
    <t>initial labour force in  region 1</t>
  </si>
  <si>
    <t xml:space="preserve">Parameter values for initial housing </t>
  </si>
  <si>
    <t>H0_1_p</t>
  </si>
  <si>
    <t>initial housing  in  region 1</t>
  </si>
  <si>
    <t>Parameter values for initial value for tas</t>
  </si>
  <si>
    <t>tas0_1_p</t>
  </si>
  <si>
    <t>initial value for tas in  region 1</t>
  </si>
  <si>
    <t>Parameter values for initial value for tasmax</t>
  </si>
  <si>
    <t>tasmax0_1_p</t>
  </si>
  <si>
    <t>initial value for tasmax in  region 1</t>
  </si>
  <si>
    <t>Parameter values for initial value for tasmin</t>
  </si>
  <si>
    <t>tasmin0_1_p</t>
  </si>
  <si>
    <t>initial value for tasmin in  region 1</t>
  </si>
  <si>
    <t>Parameter values for initial value for share of affected persons</t>
  </si>
  <si>
    <t>cyclpers0_1_p</t>
  </si>
  <si>
    <t>initial value for sfcWind in  region 1</t>
  </si>
  <si>
    <t>Parameter values for initial value for pr</t>
  </si>
  <si>
    <t>pr0_1_p</t>
  </si>
  <si>
    <t>initial value for pr in  region 1</t>
  </si>
  <si>
    <t>SL0_p</t>
  </si>
  <si>
    <t>initial value for SL</t>
  </si>
  <si>
    <t>Parameter values for initial share of value added</t>
  </si>
  <si>
    <t>phiY0_1_1_p</t>
  </si>
  <si>
    <t>initial share of value added in sector 1 and region 1</t>
  </si>
  <si>
    <t>phiY0_2_1_p</t>
  </si>
  <si>
    <t>initial share of value added in sector 2 and region 1</t>
  </si>
  <si>
    <t>phiY0_3_1_p</t>
  </si>
  <si>
    <t>initial share of value added in sector 3 and region 1</t>
  </si>
  <si>
    <t>Parameter values for initial share of employment</t>
  </si>
  <si>
    <t>phiN0_1_1_p</t>
  </si>
  <si>
    <t>initial share of employment in sector 1 and region 1</t>
  </si>
  <si>
    <t>phiN0_2_1_p</t>
  </si>
  <si>
    <t>initial share of employment in sector 2 and region 1</t>
  </si>
  <si>
    <t>phiN0_3_1_p</t>
  </si>
  <si>
    <t>initial share of employment in sector 3 and region 1</t>
  </si>
  <si>
    <t>beta_p</t>
  </si>
  <si>
    <t>discount factor</t>
  </si>
  <si>
    <t>delta_p</t>
  </si>
  <si>
    <t>depreciation rate</t>
  </si>
  <si>
    <t>phiB_p</t>
  </si>
  <si>
    <t>foreign bond adjustment cost</t>
  </si>
  <si>
    <t>phiK_p</t>
  </si>
  <si>
    <t>investment adjustment cost</t>
  </si>
  <si>
    <t>sigmaL_p</t>
  </si>
  <si>
    <t>inverse Frisch elasticity</t>
  </si>
  <si>
    <t>sigmaC_p</t>
  </si>
  <si>
    <t>intertemporal elasticity of substitution for consumption</t>
  </si>
  <si>
    <t>etaQ_p</t>
  </si>
  <si>
    <t>elasticity of substitution between sectors</t>
  </si>
  <si>
    <t>etaF_p</t>
  </si>
  <si>
    <t>elasticity of substitution between imports and domestic products</t>
  </si>
  <si>
    <t>etaX_p</t>
  </si>
  <si>
    <t>supply price elasticity of exports</t>
  </si>
  <si>
    <t>tauC_1_p</t>
  </si>
  <si>
    <t>consumption tax rate</t>
  </si>
  <si>
    <t>tauNH_1_p</t>
  </si>
  <si>
    <t>tax rate on labour income</t>
  </si>
  <si>
    <t>tauKH_1_p</t>
  </si>
  <si>
    <t>tax rate on capital income</t>
  </si>
  <si>
    <t>Parameter values for elasticity of substitution between subsectors in one sector</t>
  </si>
  <si>
    <t>etaQA_1_p</t>
  </si>
  <si>
    <t>elasticity of substitution between subsectors in one sector in sector 1</t>
  </si>
  <si>
    <t>etaQA_2_p</t>
  </si>
  <si>
    <t>elasticity of substitution between subsectors in one sector in sector 2</t>
  </si>
  <si>
    <t>etaQA_3_p</t>
  </si>
  <si>
    <t>elasticity of substitution between subsectors in one sector in sector 3</t>
  </si>
  <si>
    <t>Parameter values for elasticity of substitution between regions in one subsector</t>
  </si>
  <si>
    <t>etaQ_1_p</t>
  </si>
  <si>
    <t>elasticity of substitution between regions in one subsector in sector 1</t>
  </si>
  <si>
    <t>etaQ_2_p</t>
  </si>
  <si>
    <t>elasticity of substitution between regions in one subsector in sector 2</t>
  </si>
  <si>
    <t>etaQ_3_p</t>
  </si>
  <si>
    <t>elasticity of substitution between regions in one subsector in sector 3</t>
  </si>
  <si>
    <t>Parameter values for cost share of intermeidate goods</t>
  </si>
  <si>
    <t>phiQI_1_1_p</t>
  </si>
  <si>
    <t>cost share of intermeidate goods in sector 1 and region 1</t>
  </si>
  <si>
    <t>phiQI_2_1_p</t>
  </si>
  <si>
    <t>cost share of intermeidate goods in sector 2 and region 1</t>
  </si>
  <si>
    <t>phiQI_3_1_p</t>
  </si>
  <si>
    <t>cost share of intermeidate goods in sector 3 and region 1</t>
  </si>
  <si>
    <t>Parameter values for final use import shares</t>
  </si>
  <si>
    <t>phiM_F_1_1_p</t>
  </si>
  <si>
    <t>final use import shares in sector 1 and region 1</t>
  </si>
  <si>
    <t>phiM_F_2_1_p</t>
  </si>
  <si>
    <t>final use import shares in sector 2 and region 1</t>
  </si>
  <si>
    <t>phiM_F_3_1_p</t>
  </si>
  <si>
    <t>final use import shares in sector 3 and region 1</t>
  </si>
  <si>
    <t>Parameter values for intermediate import shares</t>
  </si>
  <si>
    <t>phiM_I_1_1_p</t>
  </si>
  <si>
    <t>intermediate import shares in sector 1 and region 1</t>
  </si>
  <si>
    <t>phiM_I_2_1_p</t>
  </si>
  <si>
    <t>intermediate import shares in sector 2 and region 1</t>
  </si>
  <si>
    <t>phiM_I_3_1_p</t>
  </si>
  <si>
    <t>intermediate import shares in sector 3 and region 1</t>
  </si>
  <si>
    <t xml:space="preserve">Parameter values for share of exports on revenues </t>
  </si>
  <si>
    <t>phiX_1_1_p</t>
  </si>
  <si>
    <t>share of exports on revenues  in sector 1 and region 1</t>
  </si>
  <si>
    <t>phiX_2_1_p</t>
  </si>
  <si>
    <t>share of exports on revenues  in sector 2 and region 1</t>
  </si>
  <si>
    <t>phiX_3_1_p</t>
  </si>
  <si>
    <t>share of exports on revenues  in sector 3 and region 1</t>
  </si>
  <si>
    <t>etaI_1_p</t>
  </si>
  <si>
    <t>elasticity of subsitution between primary production factors and intermediate products in sector 1</t>
  </si>
  <si>
    <t>etaI_2_p</t>
  </si>
  <si>
    <t>elasticity of subsitution between primary production factors and intermediate products in sector 2</t>
  </si>
  <si>
    <t>etaI_3_p</t>
  </si>
  <si>
    <t>elasticity of subsitution between primary production factors and intermediate products in sector 3</t>
  </si>
  <si>
    <t>Parameter values for elasticity of subsitution between intermeidates</t>
  </si>
  <si>
    <t>etaIA_1_p</t>
  </si>
  <si>
    <t>elasticity of subsitution between intermediates in sector 1</t>
  </si>
  <si>
    <t>etaIA_2_p</t>
  </si>
  <si>
    <t>elasticity of subsitution between intermeidates in sector 2</t>
  </si>
  <si>
    <t>etaIA_3_p</t>
  </si>
  <si>
    <t>elasticity of subsitution between intermeidates in sector 3</t>
  </si>
  <si>
    <t>phiW_1_1_p</t>
  </si>
  <si>
    <t>labour cost share in sector 1 and region 1</t>
  </si>
  <si>
    <t>phiW_2_1_p</t>
  </si>
  <si>
    <t>labour cost share in sector 2 and region 1</t>
  </si>
  <si>
    <t>phiW_3_1_p</t>
  </si>
  <si>
    <t>labour cost share in sector 3 and region 1</t>
  </si>
  <si>
    <t>Parameter values for elasticity of subsitution between labour and captial</t>
  </si>
  <si>
    <t>etaNK_1_1_p</t>
  </si>
  <si>
    <t>elasticity of subsitution between labour and captial in sector 1 and region 1</t>
  </si>
  <si>
    <t>etaNK_2_1_p</t>
  </si>
  <si>
    <t>elasticity of subsitution between labour and captial in sector 2 and region 1</t>
  </si>
  <si>
    <t>etaNK_3_1_p</t>
  </si>
  <si>
    <t>elasticity of subsitution between labour and captial in sector 3 and region 1</t>
  </si>
  <si>
    <t>Parameter values for tax rate on capital expenditures</t>
  </si>
  <si>
    <t>tauKF_1_1_p</t>
  </si>
  <si>
    <t>tax rate on capital expenditures in sector 1 and region 1</t>
  </si>
  <si>
    <t>tauKF_2_1_p</t>
  </si>
  <si>
    <t>tax rate on capital expenditures in sector 2 and region 1</t>
  </si>
  <si>
    <t>tauKF_3_1_p</t>
  </si>
  <si>
    <t>tax rate on capital expenditures in sector 3 and region 1</t>
  </si>
  <si>
    <t>Parameter values for tax rate on labour costs</t>
  </si>
  <si>
    <t>tauNF_1_1_p</t>
  </si>
  <si>
    <t>tax rate on labour costs in sector 1 and region 1</t>
  </si>
  <si>
    <t>tauNF_2_1_p</t>
  </si>
  <si>
    <t>tax rate on labour costs in sector 2 and region 1</t>
  </si>
  <si>
    <t>tauNF_3_1_p</t>
  </si>
  <si>
    <t>tax rate on labour costs in sector 3 and region 1</t>
  </si>
  <si>
    <t>Parameter values for share of emissions on total emissions for each sector</t>
  </si>
  <si>
    <t>sE_1_1_p</t>
  </si>
  <si>
    <t>share of emissions on total emissions for each sector in sector 1 and region 1</t>
  </si>
  <si>
    <t>sE_2_1_p</t>
  </si>
  <si>
    <t>share of emissions on total emissions for each sector in sector 2 and region 1</t>
  </si>
  <si>
    <t>sE_3_1_p</t>
  </si>
  <si>
    <t>share of emissions on total emissions for each sector in sector 3 and region 1</t>
  </si>
  <si>
    <t>Parameter values for share of inputs from another sector for each subsector</t>
  </si>
  <si>
    <t>phiQI_1_1_1_p</t>
  </si>
  <si>
    <t>share of inputs from another sector for each subsector in sector 1 and region 1 from sector 1</t>
  </si>
  <si>
    <t>phiQI_1_1_2_p</t>
  </si>
  <si>
    <t>share of inputs from another sector for each subsector in sector 1 and region 1 from sector 2</t>
  </si>
  <si>
    <t>phiQI_1_1_3_p</t>
  </si>
  <si>
    <t>share of inputs from another sector for each subsector in sector 1 and region 1 from sector 3</t>
  </si>
  <si>
    <t>phiQI_2_1_1_p</t>
  </si>
  <si>
    <t>share of inputs from another sector for each subsector in sector 2 and region 1 from sector 1</t>
  </si>
  <si>
    <t>phiQI_2_1_2_p</t>
  </si>
  <si>
    <t>share of inputs from another sector for each subsector in sector 2 and region 1 from sector 2</t>
  </si>
  <si>
    <t>phiQI_2_1_3_p</t>
  </si>
  <si>
    <t>share of inputs from another sector for each subsector in sector 2 and region 1 from sector 3</t>
  </si>
  <si>
    <t>phiQI_3_1_1_p</t>
  </si>
  <si>
    <t>share of inputs from another sector for each subsector in sector 3 and region 1 from sector 1</t>
  </si>
  <si>
    <t>phiQI_3_1_2_p</t>
  </si>
  <si>
    <t>share of inputs from another sector for each subsector in sector 3 and region 1 from sector 2</t>
  </si>
  <si>
    <t>phiQI_3_1_3_p</t>
  </si>
  <si>
    <t>share of inputs from another sector for each subsector in sector 3 and region 1 from sector 3</t>
  </si>
  <si>
    <t>Parameter values for share of emissions on total emissions for each sector using prdoucts from another sector as input</t>
  </si>
  <si>
    <t>sEI_1_1_1_p</t>
  </si>
  <si>
    <t>share of emissions on total emissions for each sector using prdoucts from another sector as input in sector 1 and region 1 from sector 1</t>
  </si>
  <si>
    <t>sEI_1_1_2_p</t>
  </si>
  <si>
    <t>share of emissions on total emissions for each sector using prdoucts from another sector as input in sector 1 and region 1 from sector 2</t>
  </si>
  <si>
    <t>sEI_1_1_3_p</t>
  </si>
  <si>
    <t>share of emissions on total emissions for each sector using prdoucts from another sector as input in sector 1 and region 1 from sector 3</t>
  </si>
  <si>
    <t>sEI_2_1_1_p</t>
  </si>
  <si>
    <t>share of emissions on total emissions for each sector using prdoucts from another sector as input in sector 2 and region 1 from sector 1</t>
  </si>
  <si>
    <t>sEI_2_1_2_p</t>
  </si>
  <si>
    <t>share of emissions on total emissions for each sector using prdoucts from another sector as input in sector 2 and region 1 from sector 2</t>
  </si>
  <si>
    <t>sEI_2_1_3_p</t>
  </si>
  <si>
    <t>share of emissions on total emissions for each sector using prdoucts from another sector as input in sector 2 and region 1 from sector 3</t>
  </si>
  <si>
    <t>sEI_3_1_1_p</t>
  </si>
  <si>
    <t>share of emissions on total emissions for each sector using prdoucts from another sector as input in sector 3 and region 1 from sector 1</t>
  </si>
  <si>
    <t>sEI_3_1_2_p</t>
  </si>
  <si>
    <t>share of emissions on total emissions for each sector using prdoucts from another sector as input in sector 3 and region 1 from sector 2</t>
  </si>
  <si>
    <t>sEI_3_1_3_p</t>
  </si>
  <si>
    <t>share of emissions on total emissions for each sector using prdoucts from another sector as input in sector 3 and region 1 from sector 3</t>
  </si>
  <si>
    <t>Parameter values for share of production used in one region from another region in the subsector</t>
  </si>
  <si>
    <t>phiQ_D_1_1_1_p</t>
  </si>
  <si>
    <t>share of production used in one region from another region in the subsector in sector 1 and region 1 from region 1</t>
  </si>
  <si>
    <t>phiQ_D_2_1_1_p</t>
  </si>
  <si>
    <t>share of production used in one region from another region in the subsector in sector 2 and region 1 from region 1</t>
  </si>
  <si>
    <t>phiQ_D_3_1_1_p</t>
  </si>
  <si>
    <t>share of production used in one region from another region in the subsector in sector 3 and region 1 from region 1</t>
  </si>
  <si>
    <t>time</t>
  </si>
  <si>
    <t>exo_LF_1</t>
  </si>
  <si>
    <t>exo_NLF_1</t>
  </si>
  <si>
    <t>gY_1_1</t>
  </si>
  <si>
    <t>gN_1_1</t>
  </si>
  <si>
    <t>gY_2_1</t>
  </si>
  <si>
    <t>gN_2_1</t>
  </si>
  <si>
    <t>gY_3_1</t>
  </si>
  <si>
    <t>gN_3_1</t>
  </si>
  <si>
    <t>deltaB_p</t>
  </si>
  <si>
    <t>depreciation rate foreign bonds</t>
  </si>
  <si>
    <t>S</t>
  </si>
  <si>
    <t>exo_rf</t>
  </si>
  <si>
    <t>exo_s_1</t>
  </si>
  <si>
    <t>rhos_p</t>
  </si>
  <si>
    <t>persistence in valuation shocks to net foreign asset position</t>
  </si>
  <si>
    <t>exo_NX_1</t>
  </si>
  <si>
    <t>exo_B_1</t>
  </si>
  <si>
    <t>phiadjB_p</t>
  </si>
  <si>
    <t>exo_NXL_1</t>
  </si>
  <si>
    <t>exo_BL_1</t>
  </si>
  <si>
    <t>exo_PE_1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</si>
</sst>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0.000"/>
  </numFmts>
  <fonts count="3" x14ac:knownFonts="1">
    <font>
      <sz val="11"/>
      <name val="Calibri"/>
    </font>
    <font>
      <u/>
      <sz val="11"/>
      <color theme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N22" sqref="N22"/>
    </sheetView>
  </sheetViews>
  <sheetFormatPr defaultColWidth="8.88671875" defaultRowHeight="14.4" x14ac:dyDescent="0.3"/>
  <cols>
    <col min="1" max="1" width="19.88671875" bestFit="1" customWidth="1"/>
    <col min="2" max="2" width="44" bestFit="1" customWidth="1"/>
  </cols>
  <sheetData>
    <row r="1" spans="1:3" x14ac:dyDescent="0.3">
      <c r="A1" s="8" t="s">
        <v>0</v>
      </c>
      <c r="B1" s="9"/>
      <c r="C1" s="9"/>
    </row>
    <row r="2" spans="1:3" x14ac:dyDescent="0.3">
      <c r="A2" s="1" t="str">
        <f>HYPERLINK("#'Data'!A1","Data")</f>
        <v>Data</v>
      </c>
      <c r="B2" t="s">
        <v>1</v>
      </c>
    </row>
    <row r="3" spans="1:3" x14ac:dyDescent="0.3">
      <c r="A3" s="1" t="str">
        <f>HYPERLINK("#'Start'!A1","Start")</f>
        <v>Start</v>
      </c>
      <c r="B3" t="s">
        <v>2</v>
      </c>
    </row>
    <row r="4" spans="1:3" x14ac:dyDescent="0.3">
      <c r="A4" s="1" t="str">
        <f>HYPERLINK("#'Structural Parameters'!A1","Structural Parameters")</f>
        <v>Structural Parameters</v>
      </c>
      <c r="B4" t="s">
        <v>3</v>
      </c>
    </row>
    <row r="5" spans="1:3" x14ac:dyDescent="0.3">
      <c r="A5" s="1" t="str">
        <f>HYPERLINK("#'Baseline'!A1","Baseline")</f>
        <v>Baseline</v>
      </c>
      <c r="B5" t="s">
        <v>4</v>
      </c>
    </row>
    <row r="6" spans="1:3" x14ac:dyDescent="0.3">
      <c r="A6" s="1" t="str">
        <f>HYPERLINK("#'Scenario'!A1","Scenario")</f>
        <v>Scenario</v>
      </c>
      <c r="B6" t="s">
        <v>5</v>
      </c>
    </row>
    <row r="7" spans="1:3" x14ac:dyDescent="0.3">
      <c r="A7" s="8" t="s">
        <v>6</v>
      </c>
      <c r="B7" s="9"/>
      <c r="C7" s="9"/>
    </row>
    <row r="8" spans="1:3" x14ac:dyDescent="0.3">
      <c r="A8">
        <v>1</v>
      </c>
      <c r="B8" t="s">
        <v>7</v>
      </c>
    </row>
    <row r="9" spans="1:3" x14ac:dyDescent="0.3">
      <c r="A9" s="8" t="s">
        <v>8</v>
      </c>
      <c r="B9" s="9"/>
      <c r="C9" s="9"/>
    </row>
    <row r="10" spans="1:3" x14ac:dyDescent="0.3">
      <c r="A10">
        <v>1</v>
      </c>
      <c r="B10" t="s">
        <v>9</v>
      </c>
    </row>
    <row r="11" spans="1:3" x14ac:dyDescent="0.3">
      <c r="A11">
        <v>2</v>
      </c>
      <c r="B11" t="s">
        <v>10</v>
      </c>
    </row>
    <row r="12" spans="1:3" x14ac:dyDescent="0.3">
      <c r="A12">
        <v>3</v>
      </c>
      <c r="B12" t="s">
        <v>11</v>
      </c>
    </row>
  </sheetData>
  <mergeCells count="3">
    <mergeCell ref="A1:C1"/>
    <mergeCell ref="A7:C7"/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"/>
  <sheetViews>
    <sheetView workbookViewId="0">
      <selection activeCell="D20" sqref="D20"/>
    </sheetView>
  </sheetViews>
  <sheetFormatPr defaultColWidth="8.88671875" defaultRowHeight="14.4" x14ac:dyDescent="0.3"/>
  <cols>
    <col min="1" max="1" width="10.5546875" bestFit="1" customWidth="1"/>
    <col min="2" max="2" width="6.88671875" bestFit="1" customWidth="1"/>
    <col min="3" max="3" width="24.88671875" bestFit="1" customWidth="1"/>
    <col min="4" max="4" width="24.44140625" bestFit="1" customWidth="1"/>
    <col min="5" max="5" width="17.6640625" bestFit="1" customWidth="1"/>
    <col min="6" max="6" width="15.44140625" bestFit="1" customWidth="1"/>
    <col min="7" max="7" width="26.88671875" bestFit="1" customWidth="1"/>
    <col min="8" max="8" width="19.5546875" bestFit="1" customWidth="1"/>
    <col min="9" max="9" width="19.109375" bestFit="1" customWidth="1"/>
    <col min="10" max="10" width="17.6640625" bestFit="1" customWidth="1"/>
    <col min="13" max="13" width="10.5546875" bestFit="1" customWidth="1"/>
    <col min="14" max="14" width="6.88671875" bestFit="1" customWidth="1"/>
    <col min="15" max="15" width="14.44140625" bestFit="1" customWidth="1"/>
    <col min="16" max="16" width="29.6640625" bestFit="1" customWidth="1"/>
    <col min="17" max="17" width="21.5546875" bestFit="1" customWidth="1"/>
    <col min="19" max="19" width="10.5546875" bestFit="1" customWidth="1"/>
    <col min="20" max="20" width="15" bestFit="1" customWidth="1"/>
    <col min="21" max="21" width="19.88671875" bestFit="1" customWidth="1"/>
    <col min="22" max="22" width="47.33203125" bestFit="1" customWidth="1"/>
    <col min="24" max="24" width="6.88671875" bestFit="1" customWidth="1"/>
    <col min="25" max="25" width="30.6640625" bestFit="1" customWidth="1"/>
    <col min="26" max="26" width="30.5546875" bestFit="1" customWidth="1"/>
    <col min="27" max="27" width="22.33203125" bestFit="1" customWidth="1"/>
    <col min="28" max="28" width="21.6640625" bestFit="1" customWidth="1"/>
    <col min="29" max="29" width="22.109375" bestFit="1" customWidth="1"/>
    <col min="30" max="30" width="25" bestFit="1" customWidth="1"/>
    <col min="32" max="32" width="6.88671875" bestFit="1" customWidth="1"/>
    <col min="33" max="33" width="38.33203125" bestFit="1" customWidth="1"/>
    <col min="34" max="34" width="51.33203125" bestFit="1" customWidth="1"/>
    <col min="35" max="35" width="50.6640625" bestFit="1" customWidth="1"/>
    <col min="36" max="36" width="38.88671875" bestFit="1" customWidth="1"/>
    <col min="37" max="37" width="27.6640625" bestFit="1" customWidth="1"/>
    <col min="39" max="39" width="14.33203125" bestFit="1" customWidth="1"/>
    <col min="40" max="40" width="15.44140625" bestFit="1" customWidth="1"/>
    <col min="42" max="42" width="45.5546875" bestFit="1" customWidth="1"/>
    <col min="43" max="43" width="15.44140625" bestFit="1" customWidth="1"/>
  </cols>
  <sheetData>
    <row r="1" spans="1:43" x14ac:dyDescent="0.3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22</v>
      </c>
      <c r="M1" s="3" t="s">
        <v>23</v>
      </c>
      <c r="N1" s="3" t="s">
        <v>13</v>
      </c>
      <c r="O1" s="3" t="s">
        <v>24</v>
      </c>
      <c r="P1" s="3" t="s">
        <v>25</v>
      </c>
      <c r="Q1" s="3" t="s">
        <v>26</v>
      </c>
      <c r="S1" s="3" t="s">
        <v>23</v>
      </c>
      <c r="T1" s="3" t="s">
        <v>27</v>
      </c>
      <c r="U1" s="3" t="s">
        <v>28</v>
      </c>
      <c r="V1" s="3" t="s">
        <v>29</v>
      </c>
      <c r="X1" s="3" t="s">
        <v>13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  <c r="AD1" s="3" t="s">
        <v>35</v>
      </c>
      <c r="AF1" s="3" t="s">
        <v>13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M1" s="3" t="s">
        <v>41</v>
      </c>
      <c r="AN1" s="3" t="s">
        <v>42</v>
      </c>
      <c r="AP1" s="3" t="s">
        <v>41</v>
      </c>
      <c r="AQ1" s="3" t="s">
        <v>42</v>
      </c>
    </row>
    <row r="2" spans="1:43" x14ac:dyDescent="0.3">
      <c r="A2" s="3" t="s">
        <v>9</v>
      </c>
      <c r="B2" s="3" t="s">
        <v>7</v>
      </c>
      <c r="C2" s="4">
        <v>0.43502822518348688</v>
      </c>
      <c r="D2" s="4">
        <v>5.5357326515437247E-2</v>
      </c>
      <c r="E2" s="4">
        <v>3.8690909651678533E-2</v>
      </c>
      <c r="F2" s="4">
        <v>1.9132774784408561E-2</v>
      </c>
      <c r="G2" s="5">
        <v>5.1686389473047283E-3</v>
      </c>
      <c r="H2" s="5">
        <v>7.2902555794158346E-3</v>
      </c>
      <c r="I2" s="4">
        <v>9.6204672560443932E-2</v>
      </c>
      <c r="J2" s="4">
        <v>0</v>
      </c>
      <c r="K2">
        <v>0.46544046587428101</v>
      </c>
      <c r="L2">
        <f>K2/SUM($K$2:$K$4)</f>
        <v>0.15156199907588119</v>
      </c>
      <c r="M2" s="3" t="s">
        <v>9</v>
      </c>
      <c r="N2" s="3" t="s">
        <v>7</v>
      </c>
      <c r="O2" s="3" t="s">
        <v>9</v>
      </c>
      <c r="P2">
        <v>0.32695783803036371</v>
      </c>
      <c r="Q2" s="4">
        <v>0</v>
      </c>
      <c r="S2" s="3" t="s">
        <v>9</v>
      </c>
      <c r="T2" s="3" t="s">
        <v>7</v>
      </c>
      <c r="U2" s="3" t="s">
        <v>7</v>
      </c>
      <c r="V2" s="4">
        <v>1</v>
      </c>
      <c r="X2" s="3" t="s">
        <v>7</v>
      </c>
      <c r="Y2" s="3" t="s">
        <v>43</v>
      </c>
      <c r="Z2" s="3" t="s">
        <v>43</v>
      </c>
      <c r="AA2" s="3" t="s">
        <v>43</v>
      </c>
      <c r="AB2" s="3" t="s">
        <v>43</v>
      </c>
      <c r="AC2" s="3" t="s">
        <v>43</v>
      </c>
      <c r="AD2" s="3" t="s">
        <v>43</v>
      </c>
      <c r="AF2" s="3" t="s">
        <v>7</v>
      </c>
      <c r="AG2" s="3" t="s">
        <v>43</v>
      </c>
      <c r="AH2" s="3" t="s">
        <v>43</v>
      </c>
      <c r="AI2" s="3" t="s">
        <v>43</v>
      </c>
      <c r="AJ2" s="3" t="s">
        <v>43</v>
      </c>
      <c r="AK2" s="3" t="s">
        <v>43</v>
      </c>
      <c r="AM2" s="3" t="s">
        <v>44</v>
      </c>
      <c r="AN2" s="3" t="s">
        <v>43</v>
      </c>
      <c r="AP2" s="3" t="s">
        <v>45</v>
      </c>
      <c r="AQ2">
        <v>0.25</v>
      </c>
    </row>
    <row r="3" spans="1:43" x14ac:dyDescent="0.3">
      <c r="A3" s="3" t="s">
        <v>10</v>
      </c>
      <c r="B3" s="3" t="s">
        <v>7</v>
      </c>
      <c r="C3" s="4">
        <v>0.23163843154907229</v>
      </c>
      <c r="D3" s="4">
        <v>0.1172272796797495</v>
      </c>
      <c r="E3" s="4">
        <v>3.044533442828961E-2</v>
      </c>
      <c r="F3" s="4">
        <v>0.24127061010240239</v>
      </c>
      <c r="G3" s="5">
        <v>9.5460338080554999E-2</v>
      </c>
      <c r="H3" s="5">
        <v>0.1277632201252891</v>
      </c>
      <c r="I3" s="4">
        <v>0.40966148234585781</v>
      </c>
      <c r="J3" s="4">
        <v>1</v>
      </c>
      <c r="K3">
        <v>1.6180530235573229</v>
      </c>
      <c r="L3">
        <f>K3/SUM($K$2:$K$4)</f>
        <v>0.52688876202560708</v>
      </c>
      <c r="M3" s="3" t="s">
        <v>9</v>
      </c>
      <c r="N3" s="3" t="s">
        <v>7</v>
      </c>
      <c r="O3" s="3" t="s">
        <v>10</v>
      </c>
      <c r="P3">
        <v>0.54039446151106352</v>
      </c>
      <c r="Q3" s="4">
        <v>0</v>
      </c>
      <c r="S3" s="3" t="s">
        <v>10</v>
      </c>
      <c r="T3" s="3" t="s">
        <v>7</v>
      </c>
      <c r="U3" s="3" t="s">
        <v>7</v>
      </c>
      <c r="V3" s="4">
        <v>1</v>
      </c>
      <c r="AP3" s="3" t="s">
        <v>46</v>
      </c>
      <c r="AQ3" s="4">
        <v>5</v>
      </c>
    </row>
    <row r="4" spans="1:43" x14ac:dyDescent="0.3">
      <c r="A4" s="3" t="s">
        <v>11</v>
      </c>
      <c r="B4" s="3" t="s">
        <v>7</v>
      </c>
      <c r="C4" s="4">
        <v>0.3333333432674408</v>
      </c>
      <c r="D4" s="4">
        <v>0.1530467262485618</v>
      </c>
      <c r="E4" s="4">
        <v>7.8958786545361107E-2</v>
      </c>
      <c r="F4" s="4">
        <v>5.7296628739400009E-2</v>
      </c>
      <c r="G4" s="5">
        <v>2.210119201241777E-2</v>
      </c>
      <c r="H4" s="5">
        <v>4.2216355255017567E-2</v>
      </c>
      <c r="I4" s="4">
        <v>0.16850251264994981</v>
      </c>
      <c r="J4" s="4">
        <v>0</v>
      </c>
      <c r="K4">
        <v>0.98746406399346687</v>
      </c>
      <c r="L4">
        <f>K4/SUM($K$2:$K$4)</f>
        <v>0.32154923889851161</v>
      </c>
      <c r="M4" s="3" t="s">
        <v>9</v>
      </c>
      <c r="N4" s="3" t="s">
        <v>7</v>
      </c>
      <c r="O4" s="3" t="s">
        <v>11</v>
      </c>
      <c r="P4">
        <v>0.1326477004585726</v>
      </c>
      <c r="Q4" s="4">
        <v>0</v>
      </c>
      <c r="S4" s="3" t="s">
        <v>11</v>
      </c>
      <c r="T4" s="3" t="s">
        <v>7</v>
      </c>
      <c r="U4" s="3" t="s">
        <v>7</v>
      </c>
      <c r="V4" s="4">
        <v>1</v>
      </c>
      <c r="AP4" s="3" t="s">
        <v>47</v>
      </c>
      <c r="AQ4" s="4">
        <v>0.2</v>
      </c>
    </row>
    <row r="5" spans="1:43" x14ac:dyDescent="0.3">
      <c r="K5">
        <f>1/SUM(K2:K4)</f>
        <v>0.32563133244374853</v>
      </c>
      <c r="M5" s="3" t="s">
        <v>10</v>
      </c>
      <c r="N5" s="3" t="s">
        <v>7</v>
      </c>
      <c r="O5" s="3" t="s">
        <v>9</v>
      </c>
      <c r="P5">
        <v>0.1427235747104835</v>
      </c>
      <c r="Q5" s="4">
        <v>0</v>
      </c>
      <c r="AP5" s="3" t="s">
        <v>48</v>
      </c>
      <c r="AQ5" s="4">
        <v>1E-3</v>
      </c>
    </row>
    <row r="6" spans="1:43" x14ac:dyDescent="0.3">
      <c r="M6" s="3" t="s">
        <v>10</v>
      </c>
      <c r="N6" s="3" t="s">
        <v>7</v>
      </c>
      <c r="O6" s="3" t="s">
        <v>10</v>
      </c>
      <c r="P6">
        <v>0.70279840432684426</v>
      </c>
      <c r="Q6" s="4">
        <v>0</v>
      </c>
      <c r="AP6" s="3" t="s">
        <v>49</v>
      </c>
      <c r="AQ6" s="4">
        <v>0</v>
      </c>
    </row>
    <row r="7" spans="1:43" x14ac:dyDescent="0.3">
      <c r="M7" s="3" t="s">
        <v>10</v>
      </c>
      <c r="N7" s="3" t="s">
        <v>7</v>
      </c>
      <c r="O7" s="3" t="s">
        <v>11</v>
      </c>
      <c r="P7">
        <v>0.15447802096267249</v>
      </c>
      <c r="Q7" s="4">
        <v>0</v>
      </c>
      <c r="AP7" s="3" t="s">
        <v>50</v>
      </c>
      <c r="AQ7" s="4">
        <v>0</v>
      </c>
    </row>
    <row r="8" spans="1:43" x14ac:dyDescent="0.3">
      <c r="M8" s="3" t="s">
        <v>11</v>
      </c>
      <c r="N8" s="3" t="s">
        <v>7</v>
      </c>
      <c r="O8" s="3" t="s">
        <v>9</v>
      </c>
      <c r="P8">
        <v>3.8738589086296342E-2</v>
      </c>
      <c r="Q8" s="4">
        <v>0</v>
      </c>
      <c r="AP8" s="3" t="s">
        <v>51</v>
      </c>
      <c r="AQ8" s="4">
        <v>0.2</v>
      </c>
    </row>
    <row r="9" spans="1:43" x14ac:dyDescent="0.3">
      <c r="M9" s="3" t="s">
        <v>11</v>
      </c>
      <c r="N9" s="3" t="s">
        <v>7</v>
      </c>
      <c r="O9" s="3" t="s">
        <v>10</v>
      </c>
      <c r="P9">
        <v>0.54841096655818922</v>
      </c>
      <c r="Q9" s="4">
        <v>0</v>
      </c>
    </row>
    <row r="10" spans="1:43" x14ac:dyDescent="0.3">
      <c r="M10" s="3" t="s">
        <v>11</v>
      </c>
      <c r="N10" s="3" t="s">
        <v>7</v>
      </c>
      <c r="O10" s="3" t="s">
        <v>11</v>
      </c>
      <c r="P10">
        <v>0.41285044435551471</v>
      </c>
      <c r="Q10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selection activeCell="B12" sqref="B12"/>
    </sheetView>
  </sheetViews>
  <sheetFormatPr defaultColWidth="8.88671875" defaultRowHeight="14.4" x14ac:dyDescent="0.3"/>
  <cols>
    <col min="1" max="1" width="13" bestFit="1" customWidth="1"/>
    <col min="2" max="2" width="12" bestFit="1" customWidth="1"/>
    <col min="3" max="3" width="48.44140625" bestFit="1" customWidth="1"/>
  </cols>
  <sheetData>
    <row r="1" spans="1:3" x14ac:dyDescent="0.3">
      <c r="A1" s="2" t="s">
        <v>52</v>
      </c>
      <c r="B1" s="2" t="s">
        <v>42</v>
      </c>
      <c r="C1" s="2" t="s">
        <v>53</v>
      </c>
    </row>
    <row r="2" spans="1:3" x14ac:dyDescent="0.3">
      <c r="A2" t="s">
        <v>54</v>
      </c>
      <c r="B2">
        <f>5191324/(90.19*10^6)</f>
        <v>5.7559862512473664E-2</v>
      </c>
      <c r="C2" t="s">
        <v>55</v>
      </c>
    </row>
    <row r="3" spans="1:3" x14ac:dyDescent="0.3">
      <c r="A3" s="8" t="s">
        <v>56</v>
      </c>
      <c r="B3" s="9"/>
      <c r="C3" s="9"/>
    </row>
    <row r="4" spans="1:3" x14ac:dyDescent="0.3">
      <c r="A4" t="s">
        <v>57</v>
      </c>
      <c r="B4">
        <v>0</v>
      </c>
      <c r="C4" t="s">
        <v>58</v>
      </c>
    </row>
    <row r="5" spans="1:3" x14ac:dyDescent="0.3">
      <c r="A5" t="s">
        <v>59</v>
      </c>
      <c r="B5">
        <v>1</v>
      </c>
      <c r="C5" t="s">
        <v>60</v>
      </c>
    </row>
    <row r="6" spans="1:3" x14ac:dyDescent="0.3">
      <c r="A6" t="s">
        <v>61</v>
      </c>
      <c r="B6">
        <v>0.25</v>
      </c>
      <c r="C6" t="s">
        <v>62</v>
      </c>
    </row>
    <row r="7" spans="1:3" x14ac:dyDescent="0.3">
      <c r="A7" s="8" t="s">
        <v>63</v>
      </c>
      <c r="B7" s="9"/>
      <c r="C7" s="9"/>
    </row>
    <row r="8" spans="1:3" x14ac:dyDescent="0.3">
      <c r="A8" t="s">
        <v>64</v>
      </c>
      <c r="B8">
        <f>5/1000</f>
        <v>5.0000000000000001E-3</v>
      </c>
      <c r="C8" t="s">
        <v>65</v>
      </c>
    </row>
    <row r="9" spans="1:3" x14ac:dyDescent="0.3">
      <c r="A9" s="8" t="s">
        <v>66</v>
      </c>
      <c r="B9" s="9"/>
      <c r="C9" s="9"/>
    </row>
    <row r="10" spans="1:3" x14ac:dyDescent="0.3">
      <c r="A10" t="s">
        <v>67</v>
      </c>
      <c r="B10">
        <v>1</v>
      </c>
      <c r="C10" t="s">
        <v>68</v>
      </c>
    </row>
    <row r="11" spans="1:3" x14ac:dyDescent="0.3">
      <c r="A11" s="8" t="s">
        <v>69</v>
      </c>
      <c r="B11" s="9"/>
      <c r="C11" s="9"/>
    </row>
    <row r="12" spans="1:3" x14ac:dyDescent="0.3">
      <c r="A12" t="s">
        <v>70</v>
      </c>
      <c r="B12">
        <v>0.7</v>
      </c>
      <c r="C12" t="s">
        <v>71</v>
      </c>
    </row>
    <row r="13" spans="1:3" x14ac:dyDescent="0.3">
      <c r="A13" s="8" t="s">
        <v>72</v>
      </c>
      <c r="B13" s="9"/>
      <c r="C13" s="9"/>
    </row>
    <row r="14" spans="1:3" x14ac:dyDescent="0.3">
      <c r="A14" t="s">
        <v>73</v>
      </c>
      <c r="B14">
        <f>23</f>
        <v>23</v>
      </c>
      <c r="C14" t="s">
        <v>74</v>
      </c>
    </row>
    <row r="15" spans="1:3" x14ac:dyDescent="0.3">
      <c r="A15" s="8" t="s">
        <v>75</v>
      </c>
      <c r="B15" s="9"/>
      <c r="C15" s="9"/>
    </row>
    <row r="16" spans="1:3" x14ac:dyDescent="0.3">
      <c r="A16" t="s">
        <v>76</v>
      </c>
      <c r="B16">
        <v>25</v>
      </c>
      <c r="C16" t="s">
        <v>77</v>
      </c>
    </row>
    <row r="17" spans="1:3" x14ac:dyDescent="0.3">
      <c r="A17" s="8" t="s">
        <v>78</v>
      </c>
      <c r="B17" s="9"/>
      <c r="C17" s="9"/>
    </row>
    <row r="18" spans="1:3" x14ac:dyDescent="0.3">
      <c r="A18" t="s">
        <v>79</v>
      </c>
      <c r="B18">
        <f>0</f>
        <v>0</v>
      </c>
      <c r="C18" t="s">
        <v>80</v>
      </c>
    </row>
    <row r="19" spans="1:3" x14ac:dyDescent="0.3">
      <c r="A19" s="8" t="s">
        <v>81</v>
      </c>
      <c r="B19" s="9"/>
      <c r="C19" s="9"/>
    </row>
    <row r="20" spans="1:3" x14ac:dyDescent="0.3">
      <c r="A20" t="s">
        <v>82</v>
      </c>
      <c r="B20">
        <f>0</f>
        <v>0</v>
      </c>
      <c r="C20" t="s">
        <v>83</v>
      </c>
    </row>
    <row r="21" spans="1:3" x14ac:dyDescent="0.3">
      <c r="A21" s="8" t="s">
        <v>84</v>
      </c>
      <c r="B21" s="9"/>
      <c r="C21" s="9"/>
    </row>
    <row r="22" spans="1:3" x14ac:dyDescent="0.3">
      <c r="A22" t="s">
        <v>85</v>
      </c>
      <c r="B22">
        <v>45</v>
      </c>
      <c r="C22" t="s">
        <v>86</v>
      </c>
    </row>
    <row r="23" spans="1:3" x14ac:dyDescent="0.3">
      <c r="A23" s="8" t="s">
        <v>87</v>
      </c>
      <c r="B23" s="9"/>
      <c r="C23" s="9"/>
    </row>
    <row r="24" spans="1:3" x14ac:dyDescent="0.3">
      <c r="A24" t="s">
        <v>88</v>
      </c>
      <c r="B24">
        <f>0</f>
        <v>0</v>
      </c>
      <c r="C24" t="s">
        <v>89</v>
      </c>
    </row>
    <row r="25" spans="1:3" x14ac:dyDescent="0.3">
      <c r="A25" t="s">
        <v>90</v>
      </c>
      <c r="B25">
        <f>0</f>
        <v>0</v>
      </c>
      <c r="C25" t="s">
        <v>91</v>
      </c>
    </row>
    <row r="26" spans="1:3" x14ac:dyDescent="0.3">
      <c r="A26" s="8" t="s">
        <v>92</v>
      </c>
      <c r="B26" s="9"/>
      <c r="C26" s="9"/>
    </row>
    <row r="27" spans="1:3" x14ac:dyDescent="0.3">
      <c r="A27" t="s">
        <v>93</v>
      </c>
      <c r="B27">
        <v>5.5357326515437247E-2</v>
      </c>
      <c r="C27" t="s">
        <v>94</v>
      </c>
    </row>
    <row r="28" spans="1:3" x14ac:dyDescent="0.3">
      <c r="A28" t="s">
        <v>95</v>
      </c>
      <c r="B28">
        <v>0.1172272796797495</v>
      </c>
      <c r="C28" t="s">
        <v>96</v>
      </c>
    </row>
    <row r="29" spans="1:3" x14ac:dyDescent="0.3">
      <c r="A29" t="s">
        <v>97</v>
      </c>
      <c r="B29">
        <v>0.1530467262485618</v>
      </c>
      <c r="C29" t="s">
        <v>98</v>
      </c>
    </row>
    <row r="30" spans="1:3" x14ac:dyDescent="0.3">
      <c r="A30" s="8" t="s">
        <v>99</v>
      </c>
      <c r="B30" s="9"/>
      <c r="C30" s="9"/>
    </row>
    <row r="31" spans="1:3" x14ac:dyDescent="0.3">
      <c r="A31" t="s">
        <v>100</v>
      </c>
      <c r="B31" s="4">
        <v>0.43502822518348699</v>
      </c>
      <c r="C31" t="s">
        <v>101</v>
      </c>
    </row>
    <row r="32" spans="1:3" x14ac:dyDescent="0.3">
      <c r="A32" t="s">
        <v>102</v>
      </c>
      <c r="B32" s="4">
        <v>0.23163843154907229</v>
      </c>
      <c r="C32" t="s">
        <v>103</v>
      </c>
    </row>
    <row r="33" spans="1:3" x14ac:dyDescent="0.3">
      <c r="A33" t="s">
        <v>104</v>
      </c>
      <c r="B33" s="4">
        <v>0.3333333432674408</v>
      </c>
      <c r="C33" t="s">
        <v>105</v>
      </c>
    </row>
  </sheetData>
  <mergeCells count="12">
    <mergeCell ref="A3:C3"/>
    <mergeCell ref="A7:C7"/>
    <mergeCell ref="A21:C21"/>
    <mergeCell ref="A23:C23"/>
    <mergeCell ref="A26:C26"/>
    <mergeCell ref="A30:C30"/>
    <mergeCell ref="A9:C9"/>
    <mergeCell ref="A11:C11"/>
    <mergeCell ref="A13:C13"/>
    <mergeCell ref="A15:C15"/>
    <mergeCell ref="A17:C17"/>
    <mergeCell ref="A19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2"/>
  <sheetViews>
    <sheetView topLeftCell="A22" zoomScale="160" zoomScaleNormal="160" workbookViewId="0">
      <selection activeCell="B6" sqref="B6"/>
    </sheetView>
  </sheetViews>
  <sheetFormatPr defaultColWidth="8.88671875" defaultRowHeight="14.4" x14ac:dyDescent="0.3"/>
  <cols>
    <col min="1" max="1" width="15.44140625" bestFit="1" customWidth="1"/>
    <col min="2" max="2" width="12" bestFit="1" customWidth="1"/>
    <col min="3" max="3" width="119.33203125" bestFit="1" customWidth="1"/>
  </cols>
  <sheetData>
    <row r="1" spans="1:3" x14ac:dyDescent="0.3">
      <c r="A1" s="2" t="s">
        <v>52</v>
      </c>
      <c r="B1" s="2" t="s">
        <v>42</v>
      </c>
      <c r="C1" s="2" t="s">
        <v>53</v>
      </c>
    </row>
    <row r="2" spans="1:3" x14ac:dyDescent="0.3">
      <c r="A2" t="s">
        <v>106</v>
      </c>
      <c r="B2">
        <v>0.96</v>
      </c>
      <c r="C2" t="s">
        <v>107</v>
      </c>
    </row>
    <row r="3" spans="1:3" x14ac:dyDescent="0.3">
      <c r="A3" t="s">
        <v>273</v>
      </c>
      <c r="B3">
        <v>0.05</v>
      </c>
      <c r="C3" t="s">
        <v>274</v>
      </c>
    </row>
    <row r="4" spans="1:3" x14ac:dyDescent="0.3">
      <c r="A4" t="s">
        <v>108</v>
      </c>
      <c r="B4">
        <v>0.05</v>
      </c>
      <c r="C4" t="s">
        <v>109</v>
      </c>
    </row>
    <row r="5" spans="1:3" x14ac:dyDescent="0.3">
      <c r="A5" t="s">
        <v>278</v>
      </c>
      <c r="B5">
        <v>0</v>
      </c>
      <c r="C5" t="s">
        <v>279</v>
      </c>
    </row>
    <row r="6" spans="1:3" x14ac:dyDescent="0.3">
      <c r="A6" t="s">
        <v>110</v>
      </c>
      <c r="B6">
        <v>1</v>
      </c>
      <c r="C6" t="s">
        <v>111</v>
      </c>
    </row>
    <row r="7" spans="1:3" x14ac:dyDescent="0.3">
      <c r="A7" t="s">
        <v>282</v>
      </c>
      <c r="B7">
        <v>0.1</v>
      </c>
      <c r="C7" t="s">
        <v>111</v>
      </c>
    </row>
    <row r="8" spans="1:3" x14ac:dyDescent="0.3">
      <c r="A8" t="s">
        <v>112</v>
      </c>
      <c r="B8">
        <v>10</v>
      </c>
      <c r="C8" t="s">
        <v>113</v>
      </c>
    </row>
    <row r="9" spans="1:3" x14ac:dyDescent="0.3">
      <c r="A9" t="s">
        <v>114</v>
      </c>
      <c r="B9">
        <v>0.5</v>
      </c>
      <c r="C9" t="s">
        <v>115</v>
      </c>
    </row>
    <row r="10" spans="1:3" x14ac:dyDescent="0.3">
      <c r="A10" t="s">
        <v>116</v>
      </c>
      <c r="B10">
        <v>1</v>
      </c>
      <c r="C10" t="s">
        <v>117</v>
      </c>
    </row>
    <row r="11" spans="1:3" x14ac:dyDescent="0.3">
      <c r="A11" t="s">
        <v>118</v>
      </c>
      <c r="B11">
        <v>0.6</v>
      </c>
      <c r="C11" t="s">
        <v>119</v>
      </c>
    </row>
    <row r="12" spans="1:3" x14ac:dyDescent="0.3">
      <c r="A12" t="s">
        <v>120</v>
      </c>
      <c r="B12">
        <v>0.6</v>
      </c>
      <c r="C12" t="s">
        <v>121</v>
      </c>
    </row>
    <row r="13" spans="1:3" x14ac:dyDescent="0.3">
      <c r="A13" t="s">
        <v>122</v>
      </c>
      <c r="B13">
        <v>0.6</v>
      </c>
      <c r="C13" t="s">
        <v>123</v>
      </c>
    </row>
    <row r="14" spans="1:3" x14ac:dyDescent="0.3">
      <c r="A14" t="s">
        <v>124</v>
      </c>
      <c r="B14">
        <f>0.076/0.44</f>
        <v>0.17272727272727273</v>
      </c>
      <c r="C14" t="s">
        <v>125</v>
      </c>
    </row>
    <row r="15" spans="1:3" x14ac:dyDescent="0.3">
      <c r="A15" t="s">
        <v>126</v>
      </c>
      <c r="B15">
        <v>0.14951839040565151</v>
      </c>
      <c r="C15" t="s">
        <v>127</v>
      </c>
    </row>
    <row r="16" spans="1:3" x14ac:dyDescent="0.3">
      <c r="A16" t="s">
        <v>128</v>
      </c>
      <c r="B16">
        <v>6.9698368762453569E-2</v>
      </c>
      <c r="C16" t="s">
        <v>129</v>
      </c>
    </row>
    <row r="17" spans="1:3" x14ac:dyDescent="0.3">
      <c r="A17" s="8" t="s">
        <v>130</v>
      </c>
      <c r="B17" s="9"/>
      <c r="C17" s="9"/>
    </row>
    <row r="18" spans="1:3" x14ac:dyDescent="0.3">
      <c r="A18" t="s">
        <v>131</v>
      </c>
      <c r="B18">
        <v>1</v>
      </c>
      <c r="C18" t="s">
        <v>132</v>
      </c>
    </row>
    <row r="19" spans="1:3" x14ac:dyDescent="0.3">
      <c r="A19" t="s">
        <v>133</v>
      </c>
      <c r="B19">
        <v>1</v>
      </c>
      <c r="C19" t="s">
        <v>134</v>
      </c>
    </row>
    <row r="20" spans="1:3" x14ac:dyDescent="0.3">
      <c r="A20" t="s">
        <v>135</v>
      </c>
      <c r="B20">
        <v>1</v>
      </c>
      <c r="C20" t="s">
        <v>136</v>
      </c>
    </row>
    <row r="21" spans="1:3" x14ac:dyDescent="0.3">
      <c r="A21" s="8" t="s">
        <v>137</v>
      </c>
      <c r="B21" s="9"/>
      <c r="C21" s="9"/>
    </row>
    <row r="22" spans="1:3" x14ac:dyDescent="0.3">
      <c r="A22" t="s">
        <v>138</v>
      </c>
      <c r="B22">
        <v>2</v>
      </c>
      <c r="C22" t="s">
        <v>139</v>
      </c>
    </row>
    <row r="23" spans="1:3" x14ac:dyDescent="0.3">
      <c r="A23" t="s">
        <v>140</v>
      </c>
      <c r="B23">
        <v>2</v>
      </c>
      <c r="C23" t="s">
        <v>141</v>
      </c>
    </row>
    <row r="24" spans="1:3" x14ac:dyDescent="0.3">
      <c r="A24" t="s">
        <v>142</v>
      </c>
      <c r="B24">
        <v>2</v>
      </c>
      <c r="C24" t="s">
        <v>143</v>
      </c>
    </row>
    <row r="25" spans="1:3" x14ac:dyDescent="0.3">
      <c r="A25" s="8" t="s">
        <v>144</v>
      </c>
      <c r="B25" s="9"/>
      <c r="C25" s="9"/>
    </row>
    <row r="26" spans="1:3" x14ac:dyDescent="0.3">
      <c r="A26" t="s">
        <v>145</v>
      </c>
      <c r="B26">
        <v>9.6204672560443932E-2</v>
      </c>
      <c r="C26" t="s">
        <v>146</v>
      </c>
    </row>
    <row r="27" spans="1:3" x14ac:dyDescent="0.3">
      <c r="A27" t="s">
        <v>147</v>
      </c>
      <c r="B27">
        <v>0.40966148234585781</v>
      </c>
      <c r="C27" t="s">
        <v>148</v>
      </c>
    </row>
    <row r="28" spans="1:3" x14ac:dyDescent="0.3">
      <c r="A28" t="s">
        <v>149</v>
      </c>
      <c r="B28">
        <v>0.16850251264994981</v>
      </c>
      <c r="C28" t="s">
        <v>150</v>
      </c>
    </row>
    <row r="29" spans="1:3" x14ac:dyDescent="0.3">
      <c r="A29" s="8" t="s">
        <v>151</v>
      </c>
      <c r="B29" s="9"/>
      <c r="C29" s="9"/>
    </row>
    <row r="30" spans="1:3" x14ac:dyDescent="0.3">
      <c r="A30" t="s">
        <v>152</v>
      </c>
      <c r="B30">
        <v>2E-3</v>
      </c>
      <c r="C30" t="s">
        <v>153</v>
      </c>
    </row>
    <row r="31" spans="1:3" x14ac:dyDescent="0.3">
      <c r="A31" t="s">
        <v>154</v>
      </c>
      <c r="B31">
        <v>0.03</v>
      </c>
      <c r="C31" t="s">
        <v>155</v>
      </c>
    </row>
    <row r="32" spans="1:3" x14ac:dyDescent="0.3">
      <c r="A32" t="s">
        <v>156</v>
      </c>
      <c r="B32">
        <v>8.0000000000000002E-3</v>
      </c>
      <c r="C32" t="s">
        <v>157</v>
      </c>
    </row>
    <row r="33" spans="1:4" x14ac:dyDescent="0.3">
      <c r="A33" s="8" t="s">
        <v>158</v>
      </c>
      <c r="B33" s="9"/>
      <c r="C33" s="9"/>
    </row>
    <row r="34" spans="1:4" x14ac:dyDescent="0.3">
      <c r="A34" t="s">
        <v>159</v>
      </c>
      <c r="B34" s="5">
        <v>1.08254299149974E-2</v>
      </c>
      <c r="C34" t="s">
        <v>160</v>
      </c>
    </row>
    <row r="35" spans="1:4" x14ac:dyDescent="0.3">
      <c r="A35" t="s">
        <v>161</v>
      </c>
      <c r="B35" s="5">
        <v>0.19524439536699731</v>
      </c>
      <c r="C35" t="s">
        <v>162</v>
      </c>
    </row>
    <row r="36" spans="1:4" x14ac:dyDescent="0.3">
      <c r="A36" t="s">
        <v>163</v>
      </c>
      <c r="B36" s="5">
        <v>4.0083660994093509E-2</v>
      </c>
      <c r="C36" t="s">
        <v>164</v>
      </c>
    </row>
    <row r="37" spans="1:4" x14ac:dyDescent="0.3">
      <c r="A37" s="8" t="s">
        <v>165</v>
      </c>
      <c r="B37" s="9"/>
      <c r="C37" s="9"/>
    </row>
    <row r="38" spans="1:4" x14ac:dyDescent="0.3">
      <c r="A38" t="s">
        <v>166</v>
      </c>
      <c r="B38">
        <f>SUM($B$30:$B$32,$B$34:$B$36)*D38/SUM($D$38:$D$40)</f>
        <v>1.6436728118537948E-2</v>
      </c>
      <c r="C38" t="s">
        <v>167</v>
      </c>
      <c r="D38">
        <v>1.7215726340485109E-2</v>
      </c>
    </row>
    <row r="39" spans="1:4" x14ac:dyDescent="0.3">
      <c r="A39" t="s">
        <v>168</v>
      </c>
      <c r="B39">
        <f t="shared" ref="B39:B40" si="0">SUM($B$30:$B$32,$B$34:$B$36)*D39/SUM($D$38:$D$40)</f>
        <v>0.23620153987258957</v>
      </c>
      <c r="C39" t="s">
        <v>169</v>
      </c>
      <c r="D39">
        <v>0.24739601715875981</v>
      </c>
    </row>
    <row r="40" spans="1:4" x14ac:dyDescent="0.3">
      <c r="A40" t="s">
        <v>170</v>
      </c>
      <c r="B40">
        <f t="shared" si="0"/>
        <v>3.3515218284960686E-2</v>
      </c>
      <c r="C40" t="s">
        <v>171</v>
      </c>
      <c r="D40" s="5">
        <v>3.5103630240422158E-2</v>
      </c>
    </row>
    <row r="41" spans="1:4" x14ac:dyDescent="0.3">
      <c r="A41" s="8">
        <v>0</v>
      </c>
      <c r="B41" s="9"/>
      <c r="C41" s="9"/>
    </row>
    <row r="42" spans="1:4" x14ac:dyDescent="0.3">
      <c r="A42" t="s">
        <v>172</v>
      </c>
      <c r="B42">
        <v>0.9</v>
      </c>
      <c r="C42" t="s">
        <v>173</v>
      </c>
    </row>
    <row r="43" spans="1:4" x14ac:dyDescent="0.3">
      <c r="A43" t="s">
        <v>174</v>
      </c>
      <c r="B43">
        <v>0.9</v>
      </c>
      <c r="C43" t="s">
        <v>175</v>
      </c>
    </row>
    <row r="44" spans="1:4" x14ac:dyDescent="0.3">
      <c r="A44" t="s">
        <v>176</v>
      </c>
      <c r="B44">
        <v>0.9</v>
      </c>
      <c r="C44" t="s">
        <v>177</v>
      </c>
    </row>
    <row r="45" spans="1:4" x14ac:dyDescent="0.3">
      <c r="A45" s="8" t="s">
        <v>178</v>
      </c>
      <c r="B45" s="9"/>
      <c r="C45" s="9"/>
    </row>
    <row r="46" spans="1:4" x14ac:dyDescent="0.3">
      <c r="A46" t="s">
        <v>179</v>
      </c>
      <c r="B46">
        <v>0.1</v>
      </c>
      <c r="C46" t="s">
        <v>180</v>
      </c>
    </row>
    <row r="47" spans="1:4" x14ac:dyDescent="0.3">
      <c r="A47" t="s">
        <v>181</v>
      </c>
      <c r="B47">
        <v>0.1</v>
      </c>
      <c r="C47" t="s">
        <v>182</v>
      </c>
    </row>
    <row r="48" spans="1:4" x14ac:dyDescent="0.3">
      <c r="A48" t="s">
        <v>183</v>
      </c>
      <c r="B48">
        <v>0.1</v>
      </c>
      <c r="C48" t="s">
        <v>184</v>
      </c>
    </row>
    <row r="49" spans="1:3" x14ac:dyDescent="0.3">
      <c r="A49" s="8" t="s">
        <v>275</v>
      </c>
      <c r="B49" s="9"/>
      <c r="C49" s="9"/>
    </row>
    <row r="50" spans="1:3" x14ac:dyDescent="0.3">
      <c r="A50" t="s">
        <v>185</v>
      </c>
      <c r="B50" s="4">
        <v>3.8690909651678533E-2</v>
      </c>
      <c r="C50" t="s">
        <v>186</v>
      </c>
    </row>
    <row r="51" spans="1:3" x14ac:dyDescent="0.3">
      <c r="A51" t="s">
        <v>187</v>
      </c>
      <c r="B51" s="4">
        <v>3.044533442828961E-2</v>
      </c>
      <c r="C51" t="s">
        <v>188</v>
      </c>
    </row>
    <row r="52" spans="1:3" x14ac:dyDescent="0.3">
      <c r="A52" t="s">
        <v>189</v>
      </c>
      <c r="B52" s="4">
        <v>7.8958786545361107E-2</v>
      </c>
      <c r="C52" t="s">
        <v>190</v>
      </c>
    </row>
    <row r="53" spans="1:3" x14ac:dyDescent="0.3">
      <c r="A53" s="8" t="s">
        <v>191</v>
      </c>
      <c r="B53" s="9"/>
      <c r="C53" s="9"/>
    </row>
    <row r="54" spans="1:3" x14ac:dyDescent="0.3">
      <c r="A54" t="s">
        <v>192</v>
      </c>
      <c r="B54">
        <v>1</v>
      </c>
      <c r="C54" t="s">
        <v>193</v>
      </c>
    </row>
    <row r="55" spans="1:3" x14ac:dyDescent="0.3">
      <c r="A55" t="s">
        <v>194</v>
      </c>
      <c r="B55">
        <v>1</v>
      </c>
      <c r="C55" t="s">
        <v>195</v>
      </c>
    </row>
    <row r="56" spans="1:3" x14ac:dyDescent="0.3">
      <c r="A56" t="s">
        <v>196</v>
      </c>
      <c r="B56">
        <v>1</v>
      </c>
      <c r="C56" t="s">
        <v>197</v>
      </c>
    </row>
    <row r="57" spans="1:3" x14ac:dyDescent="0.3">
      <c r="A57" s="8" t="s">
        <v>198</v>
      </c>
      <c r="B57" s="9"/>
      <c r="C57" s="9"/>
    </row>
    <row r="58" spans="1:3" x14ac:dyDescent="0.3">
      <c r="A58" t="s">
        <v>199</v>
      </c>
      <c r="B58">
        <f>0</f>
        <v>0</v>
      </c>
      <c r="C58" t="s">
        <v>200</v>
      </c>
    </row>
    <row r="59" spans="1:3" x14ac:dyDescent="0.3">
      <c r="A59" t="s">
        <v>201</v>
      </c>
      <c r="B59">
        <f>0</f>
        <v>0</v>
      </c>
      <c r="C59" t="s">
        <v>202</v>
      </c>
    </row>
    <row r="60" spans="1:3" x14ac:dyDescent="0.3">
      <c r="A60" t="s">
        <v>203</v>
      </c>
      <c r="B60">
        <f>0</f>
        <v>0</v>
      </c>
      <c r="C60" t="s">
        <v>204</v>
      </c>
    </row>
    <row r="61" spans="1:3" x14ac:dyDescent="0.3">
      <c r="A61" s="8" t="s">
        <v>205</v>
      </c>
      <c r="B61" s="9"/>
      <c r="C61" s="9"/>
    </row>
    <row r="62" spans="1:3" x14ac:dyDescent="0.3">
      <c r="A62" t="s">
        <v>206</v>
      </c>
      <c r="B62">
        <f>0</f>
        <v>0</v>
      </c>
      <c r="C62" t="s">
        <v>207</v>
      </c>
    </row>
    <row r="63" spans="1:3" x14ac:dyDescent="0.3">
      <c r="A63" t="s">
        <v>208</v>
      </c>
      <c r="B63">
        <f>0</f>
        <v>0</v>
      </c>
      <c r="C63" t="s">
        <v>209</v>
      </c>
    </row>
    <row r="64" spans="1:3" x14ac:dyDescent="0.3">
      <c r="A64" t="s">
        <v>210</v>
      </c>
      <c r="B64">
        <f>0</f>
        <v>0</v>
      </c>
      <c r="C64" t="s">
        <v>211</v>
      </c>
    </row>
    <row r="65" spans="1:3" x14ac:dyDescent="0.3">
      <c r="A65" s="8" t="s">
        <v>212</v>
      </c>
      <c r="B65" s="9"/>
      <c r="C65" s="9"/>
    </row>
    <row r="66" spans="1:3" x14ac:dyDescent="0.3">
      <c r="A66" t="s">
        <v>213</v>
      </c>
      <c r="B66">
        <v>0</v>
      </c>
      <c r="C66" t="s">
        <v>214</v>
      </c>
    </row>
    <row r="67" spans="1:3" x14ac:dyDescent="0.3">
      <c r="A67" t="s">
        <v>215</v>
      </c>
      <c r="B67">
        <v>1</v>
      </c>
      <c r="C67" t="s">
        <v>216</v>
      </c>
    </row>
    <row r="68" spans="1:3" x14ac:dyDescent="0.3">
      <c r="A68" t="s">
        <v>217</v>
      </c>
      <c r="B68">
        <v>0</v>
      </c>
      <c r="C68" t="s">
        <v>218</v>
      </c>
    </row>
    <row r="69" spans="1:3" x14ac:dyDescent="0.3">
      <c r="A69" s="8" t="s">
        <v>219</v>
      </c>
      <c r="B69" s="9"/>
      <c r="C69" s="9"/>
    </row>
    <row r="70" spans="1:3" x14ac:dyDescent="0.3">
      <c r="A70" t="s">
        <v>220</v>
      </c>
      <c r="B70">
        <v>0.32695783803036371</v>
      </c>
      <c r="C70" t="s">
        <v>221</v>
      </c>
    </row>
    <row r="71" spans="1:3" x14ac:dyDescent="0.3">
      <c r="A71" t="s">
        <v>222</v>
      </c>
      <c r="B71">
        <v>0.54039446151106352</v>
      </c>
      <c r="C71" t="s">
        <v>223</v>
      </c>
    </row>
    <row r="72" spans="1:3" x14ac:dyDescent="0.3">
      <c r="A72" t="s">
        <v>224</v>
      </c>
      <c r="B72">
        <v>0.1326477004585726</v>
      </c>
      <c r="C72" t="s">
        <v>225</v>
      </c>
    </row>
    <row r="73" spans="1:3" x14ac:dyDescent="0.3">
      <c r="A73" t="s">
        <v>226</v>
      </c>
      <c r="B73">
        <v>0.1427235747104835</v>
      </c>
      <c r="C73" t="s">
        <v>227</v>
      </c>
    </row>
    <row r="74" spans="1:3" x14ac:dyDescent="0.3">
      <c r="A74" t="s">
        <v>228</v>
      </c>
      <c r="B74">
        <v>0.70279840432684426</v>
      </c>
      <c r="C74" t="s">
        <v>229</v>
      </c>
    </row>
    <row r="75" spans="1:3" x14ac:dyDescent="0.3">
      <c r="A75" t="s">
        <v>230</v>
      </c>
      <c r="B75">
        <v>0.15447802096267249</v>
      </c>
      <c r="C75" t="s">
        <v>231</v>
      </c>
    </row>
    <row r="76" spans="1:3" x14ac:dyDescent="0.3">
      <c r="A76" t="s">
        <v>232</v>
      </c>
      <c r="B76">
        <v>3.8738589086296342E-2</v>
      </c>
      <c r="C76" t="s">
        <v>233</v>
      </c>
    </row>
    <row r="77" spans="1:3" x14ac:dyDescent="0.3">
      <c r="A77" t="s">
        <v>234</v>
      </c>
      <c r="B77">
        <v>0.54841096655818922</v>
      </c>
      <c r="C77" t="s">
        <v>235</v>
      </c>
    </row>
    <row r="78" spans="1:3" x14ac:dyDescent="0.3">
      <c r="A78" t="s">
        <v>236</v>
      </c>
      <c r="B78">
        <v>0.41285044435551471</v>
      </c>
      <c r="C78" t="s">
        <v>237</v>
      </c>
    </row>
    <row r="79" spans="1:3" x14ac:dyDescent="0.3">
      <c r="A79" s="8" t="s">
        <v>238</v>
      </c>
      <c r="B79" s="9"/>
      <c r="C79" s="9"/>
    </row>
    <row r="80" spans="1:3" x14ac:dyDescent="0.3">
      <c r="A80" t="s">
        <v>239</v>
      </c>
      <c r="B80">
        <v>0</v>
      </c>
      <c r="C80" t="s">
        <v>240</v>
      </c>
    </row>
    <row r="81" spans="1:3" x14ac:dyDescent="0.3">
      <c r="A81" t="s">
        <v>241</v>
      </c>
      <c r="B81">
        <v>0</v>
      </c>
      <c r="C81" t="s">
        <v>242</v>
      </c>
    </row>
    <row r="82" spans="1:3" x14ac:dyDescent="0.3">
      <c r="A82" t="s">
        <v>243</v>
      </c>
      <c r="B82">
        <v>0</v>
      </c>
      <c r="C82" t="s">
        <v>244</v>
      </c>
    </row>
    <row r="83" spans="1:3" x14ac:dyDescent="0.3">
      <c r="A83" t="s">
        <v>245</v>
      </c>
      <c r="B83">
        <v>0</v>
      </c>
      <c r="C83" t="s">
        <v>246</v>
      </c>
    </row>
    <row r="84" spans="1:3" x14ac:dyDescent="0.3">
      <c r="A84" t="s">
        <v>247</v>
      </c>
      <c r="B84">
        <v>0</v>
      </c>
      <c r="C84" t="s">
        <v>248</v>
      </c>
    </row>
    <row r="85" spans="1:3" x14ac:dyDescent="0.3">
      <c r="A85" t="s">
        <v>249</v>
      </c>
      <c r="B85">
        <v>0</v>
      </c>
      <c r="C85" t="s">
        <v>250</v>
      </c>
    </row>
    <row r="86" spans="1:3" x14ac:dyDescent="0.3">
      <c r="A86" t="s">
        <v>251</v>
      </c>
      <c r="B86">
        <v>0</v>
      </c>
      <c r="C86" t="s">
        <v>252</v>
      </c>
    </row>
    <row r="87" spans="1:3" x14ac:dyDescent="0.3">
      <c r="A87" t="s">
        <v>253</v>
      </c>
      <c r="B87">
        <v>0</v>
      </c>
      <c r="C87" t="s">
        <v>254</v>
      </c>
    </row>
    <row r="88" spans="1:3" x14ac:dyDescent="0.3">
      <c r="A88" t="s">
        <v>255</v>
      </c>
      <c r="B88">
        <v>0</v>
      </c>
      <c r="C88" t="s">
        <v>256</v>
      </c>
    </row>
    <row r="89" spans="1:3" x14ac:dyDescent="0.3">
      <c r="A89" s="8" t="s">
        <v>257</v>
      </c>
      <c r="B89" s="9"/>
      <c r="C89" s="9"/>
    </row>
    <row r="90" spans="1:3" x14ac:dyDescent="0.3">
      <c r="A90" t="s">
        <v>258</v>
      </c>
      <c r="B90">
        <v>1</v>
      </c>
      <c r="C90" t="s">
        <v>259</v>
      </c>
    </row>
    <row r="91" spans="1:3" x14ac:dyDescent="0.3">
      <c r="A91" t="s">
        <v>260</v>
      </c>
      <c r="B91">
        <v>1</v>
      </c>
      <c r="C91" t="s">
        <v>261</v>
      </c>
    </row>
    <row r="92" spans="1:3" x14ac:dyDescent="0.3">
      <c r="A92" t="s">
        <v>262</v>
      </c>
      <c r="B92">
        <v>1</v>
      </c>
      <c r="C92" t="s">
        <v>263</v>
      </c>
    </row>
  </sheetData>
  <mergeCells count="16">
    <mergeCell ref="A37:C37"/>
    <mergeCell ref="A17:C17"/>
    <mergeCell ref="A21:C21"/>
    <mergeCell ref="A25:C25"/>
    <mergeCell ref="A29:C29"/>
    <mergeCell ref="A33:C33"/>
    <mergeCell ref="A65:C65"/>
    <mergeCell ref="A69:C69"/>
    <mergeCell ref="A79:C79"/>
    <mergeCell ref="A89:C89"/>
    <mergeCell ref="A41:C41"/>
    <mergeCell ref="A45:C45"/>
    <mergeCell ref="A49:C49"/>
    <mergeCell ref="A53:C53"/>
    <mergeCell ref="A57:C57"/>
    <mergeCell ref="A61:C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E7C9-079F-46EB-A393-1010B520CD1D}">
  <dimension ref="A1:P87"/>
  <sheetViews>
    <sheetView tabSelected="1" topLeftCell="E1" zoomScale="235" zoomScaleNormal="235" workbookViewId="0">
      <selection activeCell="P2" sqref="P2:P87"/>
    </sheetView>
  </sheetViews>
  <sheetFormatPr defaultColWidth="8.88671875" defaultRowHeight="14.4" x14ac:dyDescent="0.3"/>
  <sheetData>
    <row r="1" spans="1:16" x14ac:dyDescent="0.3">
      <c r="A1" s="6" t="s">
        <v>264</v>
      </c>
      <c r="B1" s="6" t="s">
        <v>265</v>
      </c>
      <c r="C1" s="6" t="s">
        <v>266</v>
      </c>
      <c r="D1" s="6" t="s">
        <v>267</v>
      </c>
      <c r="E1" s="6" t="s">
        <v>268</v>
      </c>
      <c r="F1" s="6" t="s">
        <v>269</v>
      </c>
      <c r="G1" s="6" t="s">
        <v>270</v>
      </c>
      <c r="H1" s="6" t="s">
        <v>271</v>
      </c>
      <c r="I1" s="6" t="s">
        <v>272</v>
      </c>
      <c r="J1" s="7" t="s">
        <v>277</v>
      </c>
      <c r="K1" s="7" t="s">
        <v>276</v>
      </c>
      <c r="L1" s="7" t="s">
        <v>280</v>
      </c>
      <c r="M1" s="7" t="s">
        <v>281</v>
      </c>
      <c r="N1" s="7" t="s">
        <v>283</v>
      </c>
      <c r="O1" s="7" t="s">
        <v>284</v>
      </c>
      <c r="P1" s="7" t="s">
        <v>285</v>
      </c>
    </row>
    <row r="2" spans="1:16" x14ac:dyDescent="0.3">
      <c r="A2">
        <v>2</v>
      </c>
      <c r="B2">
        <v>0</v>
      </c>
      <c r="C2">
        <v>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1.090453158996116E-2</v>
      </c>
      <c r="M2">
        <v>0.16055025924273886</v>
      </c>
      <c r="N2">
        <v>1</v>
      </c>
      <c r="O2">
        <v>1</v>
      </c>
      <c r="P2">
        <v>0</v>
      </c>
    </row>
    <row r="3" spans="1:16" x14ac:dyDescent="0.3">
      <c r="A3">
        <v>3</v>
      </c>
      <c r="B3">
        <v>1.328075233168313E-2</v>
      </c>
      <c r="C3">
        <v>2.197819087525144E-3</v>
      </c>
      <c r="D3">
        <v>1.0159332268067891</v>
      </c>
      <c r="E3">
        <v>0.94658416149023128</v>
      </c>
      <c r="F3">
        <v>1.059498999368274</v>
      </c>
      <c r="G3">
        <v>1.073044676356907</v>
      </c>
      <c r="H3">
        <v>1.080875880052464</v>
      </c>
      <c r="I3">
        <v>0.99052383511989095</v>
      </c>
      <c r="J3">
        <v>0</v>
      </c>
      <c r="K3">
        <v>0</v>
      </c>
      <c r="L3">
        <v>2.6387030404660349E-2</v>
      </c>
      <c r="M3">
        <v>0.16781771663259867</v>
      </c>
      <c r="N3">
        <v>1</v>
      </c>
      <c r="O3">
        <v>1</v>
      </c>
      <c r="P3">
        <v>0</v>
      </c>
    </row>
    <row r="4" spans="1:16" x14ac:dyDescent="0.3">
      <c r="A4">
        <v>4</v>
      </c>
      <c r="B4">
        <v>2.6327978300265901E-2</v>
      </c>
      <c r="C4">
        <v>4.4313875310937334E-3</v>
      </c>
      <c r="D4">
        <v>0.99927468664342545</v>
      </c>
      <c r="E4">
        <v>0.95770821603993705</v>
      </c>
      <c r="F4">
        <v>1.1078486295405601</v>
      </c>
      <c r="G4">
        <v>1.0405477100721621</v>
      </c>
      <c r="H4">
        <v>1.0610910486533389</v>
      </c>
      <c r="I4">
        <v>1.0055560516722351</v>
      </c>
      <c r="J4">
        <v>0</v>
      </c>
      <c r="K4">
        <v>0</v>
      </c>
      <c r="L4">
        <v>2.4225742464154786E-2</v>
      </c>
      <c r="M4">
        <v>0.20051212953323916</v>
      </c>
      <c r="N4">
        <v>1</v>
      </c>
      <c r="O4">
        <v>1</v>
      </c>
      <c r="P4">
        <v>0</v>
      </c>
    </row>
    <row r="5" spans="1:16" x14ac:dyDescent="0.3">
      <c r="A5">
        <v>5</v>
      </c>
      <c r="B5">
        <v>3.9030698082608062E-2</v>
      </c>
      <c r="C5">
        <v>6.5627985388991839E-3</v>
      </c>
      <c r="D5">
        <v>1.018703206236526</v>
      </c>
      <c r="E5">
        <v>0.9368604701116876</v>
      </c>
      <c r="F5">
        <v>1.1051320475195849</v>
      </c>
      <c r="G5">
        <v>1.0363966614405</v>
      </c>
      <c r="H5">
        <v>1.059920392781935</v>
      </c>
      <c r="I5">
        <v>1.041928833089691</v>
      </c>
      <c r="J5">
        <v>0</v>
      </c>
      <c r="K5">
        <v>0</v>
      </c>
      <c r="L5">
        <v>4.1470043020621711E-2</v>
      </c>
      <c r="M5">
        <v>0.21939217332560534</v>
      </c>
      <c r="N5">
        <v>1</v>
      </c>
      <c r="O5">
        <v>1</v>
      </c>
      <c r="P5">
        <v>0</v>
      </c>
    </row>
    <row r="6" spans="1:16" x14ac:dyDescent="0.3">
      <c r="A6">
        <v>6</v>
      </c>
      <c r="B6">
        <v>5.1256342184741399E-2</v>
      </c>
      <c r="C6">
        <v>8.4316845099552395E-3</v>
      </c>
      <c r="D6">
        <v>1.0247851013797129</v>
      </c>
      <c r="E6">
        <v>0.91203788782033746</v>
      </c>
      <c r="F6">
        <v>1.077825435763984</v>
      </c>
      <c r="G6">
        <v>1.1033347871690879</v>
      </c>
      <c r="H6">
        <v>1.077773048609616</v>
      </c>
      <c r="I6">
        <v>1.0000209689837649</v>
      </c>
      <c r="J6">
        <v>0</v>
      </c>
      <c r="K6">
        <v>0</v>
      </c>
      <c r="L6">
        <v>5.7252498058678672E-2</v>
      </c>
      <c r="M6">
        <v>0.27613573711979439</v>
      </c>
      <c r="N6">
        <v>1</v>
      </c>
      <c r="O6">
        <v>1</v>
      </c>
      <c r="P6">
        <v>0</v>
      </c>
    </row>
    <row r="7" spans="1:16" x14ac:dyDescent="0.3">
      <c r="A7">
        <v>7</v>
      </c>
      <c r="B7">
        <v>6.2916135484349489E-2</v>
      </c>
      <c r="C7">
        <v>9.9206126836581809E-3</v>
      </c>
      <c r="D7">
        <v>1.107062467027236</v>
      </c>
      <c r="E7">
        <v>0.92887438552206814</v>
      </c>
      <c r="F7">
        <v>1.0292156183063139</v>
      </c>
      <c r="G7">
        <v>0.9866009090915191</v>
      </c>
      <c r="H7">
        <v>1.015294328855876</v>
      </c>
      <c r="I7">
        <v>0.99171284379274505</v>
      </c>
      <c r="J7">
        <v>0</v>
      </c>
      <c r="K7">
        <v>0</v>
      </c>
      <c r="L7">
        <v>5.8915385914518177E-2</v>
      </c>
      <c r="M7">
        <v>0.32799065460436821</v>
      </c>
      <c r="N7">
        <v>1</v>
      </c>
      <c r="O7">
        <v>1</v>
      </c>
      <c r="P7">
        <v>0</v>
      </c>
    </row>
    <row r="8" spans="1:16" x14ac:dyDescent="0.3">
      <c r="A8">
        <v>8</v>
      </c>
      <c r="B8">
        <v>7.3956933270665992E-2</v>
      </c>
      <c r="C8">
        <v>1.0977036444540291E-2</v>
      </c>
      <c r="D8">
        <v>1.0250287618454541</v>
      </c>
      <c r="E8">
        <v>0.79164464148907709</v>
      </c>
      <c r="F8">
        <v>1.053374306816899</v>
      </c>
      <c r="G8">
        <v>0.97288944955026879</v>
      </c>
      <c r="H8">
        <v>1.017351697754147</v>
      </c>
      <c r="I8">
        <v>0.94924174376064385</v>
      </c>
      <c r="J8">
        <v>0</v>
      </c>
      <c r="K8">
        <v>0</v>
      </c>
      <c r="L8">
        <v>4.9089329794134544E-3</v>
      </c>
      <c r="M8">
        <v>0.31675024212387615</v>
      </c>
      <c r="N8">
        <v>1</v>
      </c>
      <c r="O8">
        <v>1</v>
      </c>
      <c r="P8">
        <v>0</v>
      </c>
    </row>
    <row r="9" spans="1:16" x14ac:dyDescent="0.3">
      <c r="A9">
        <v>9</v>
      </c>
      <c r="B9">
        <v>8.2436154164815534E-2</v>
      </c>
      <c r="C9">
        <v>9.7791301481362503E-3</v>
      </c>
      <c r="D9">
        <v>1.0445300728574789</v>
      </c>
      <c r="E9">
        <v>0.98768254629559327</v>
      </c>
      <c r="F9">
        <v>1.073130874777924</v>
      </c>
      <c r="G9">
        <v>1.0351059289890729</v>
      </c>
      <c r="H9">
        <v>1.081778209549233</v>
      </c>
      <c r="I9">
        <v>1.0407725695617309</v>
      </c>
      <c r="J9">
        <v>0</v>
      </c>
      <c r="K9">
        <v>0</v>
      </c>
      <c r="L9">
        <v>3.7762838413750242E-2</v>
      </c>
      <c r="M9">
        <v>0.24236719211130342</v>
      </c>
      <c r="N9">
        <v>1</v>
      </c>
      <c r="O9">
        <v>1</v>
      </c>
      <c r="P9">
        <v>0</v>
      </c>
    </row>
    <row r="10" spans="1:16" x14ac:dyDescent="0.3">
      <c r="A10">
        <v>10</v>
      </c>
      <c r="B10">
        <v>9.074658330442098E-2</v>
      </c>
      <c r="C10">
        <v>8.8713509714164474E-3</v>
      </c>
      <c r="D10">
        <v>1.0386959017030331</v>
      </c>
      <c r="E10">
        <v>0.96412659802098644</v>
      </c>
      <c r="F10">
        <v>1.070662946658467</v>
      </c>
      <c r="G10">
        <v>1.0132794831819689</v>
      </c>
      <c r="H10">
        <v>1.0746323452640369</v>
      </c>
      <c r="I10">
        <v>1.0143907942667421</v>
      </c>
      <c r="J10">
        <v>0</v>
      </c>
      <c r="K10">
        <v>0</v>
      </c>
      <c r="L10">
        <v>8.0280748689769921E-2</v>
      </c>
      <c r="M10">
        <v>0</v>
      </c>
      <c r="N10">
        <v>1</v>
      </c>
      <c r="O10">
        <v>1</v>
      </c>
      <c r="P10">
        <v>0</v>
      </c>
    </row>
    <row r="11" spans="1:16" x14ac:dyDescent="0.3">
      <c r="A11">
        <v>11</v>
      </c>
      <c r="B11">
        <v>9.8853017742821514E-2</v>
      </c>
      <c r="C11">
        <v>8.3714864911823561E-3</v>
      </c>
      <c r="D11">
        <v>1.034507213795032</v>
      </c>
      <c r="E11">
        <v>0.9642499845791116</v>
      </c>
      <c r="F11">
        <v>1.066002919296607</v>
      </c>
      <c r="G11">
        <v>1.0121681101372111</v>
      </c>
      <c r="H11">
        <v>1.0702712690129741</v>
      </c>
      <c r="I11">
        <v>1.0139976347456241</v>
      </c>
      <c r="J11">
        <v>0</v>
      </c>
      <c r="K11">
        <v>0</v>
      </c>
      <c r="L11">
        <v>0</v>
      </c>
      <c r="M11">
        <f t="shared" ref="M11:M20" si="0">M10*0.9</f>
        <v>0</v>
      </c>
      <c r="N11">
        <v>0</v>
      </c>
      <c r="O11">
        <v>0</v>
      </c>
      <c r="P11">
        <v>0</v>
      </c>
    </row>
    <row r="12" spans="1:16" x14ac:dyDescent="0.3">
      <c r="A12">
        <v>12</v>
      </c>
      <c r="B12">
        <v>0.10672063879843301</v>
      </c>
      <c r="C12">
        <v>8.399285835817949E-3</v>
      </c>
      <c r="D12">
        <v>1.030666221367827</v>
      </c>
      <c r="E12">
        <v>0.96422710544630752</v>
      </c>
      <c r="F12">
        <v>1.0620708583749601</v>
      </c>
      <c r="G12">
        <v>1.011386952601109</v>
      </c>
      <c r="H12">
        <v>1.066304799851846</v>
      </c>
      <c r="I12">
        <v>1.013503122255998</v>
      </c>
      <c r="J12">
        <v>0</v>
      </c>
      <c r="K12">
        <v>0</v>
      </c>
      <c r="L12">
        <v>0</v>
      </c>
      <c r="M12">
        <f t="shared" si="0"/>
        <v>0</v>
      </c>
      <c r="N12">
        <v>0</v>
      </c>
      <c r="O12">
        <v>0</v>
      </c>
      <c r="P12">
        <v>0</v>
      </c>
    </row>
    <row r="13" spans="1:16" x14ac:dyDescent="0.3">
      <c r="A13">
        <v>13</v>
      </c>
      <c r="B13">
        <v>0.11212456551862091</v>
      </c>
      <c r="C13">
        <v>6.9098571469869974E-3</v>
      </c>
      <c r="D13">
        <v>1.03001828730316</v>
      </c>
      <c r="E13">
        <v>0.96421913358378764</v>
      </c>
      <c r="F13">
        <v>1.061401588158454</v>
      </c>
      <c r="G13">
        <v>1.010642882417538</v>
      </c>
      <c r="H13">
        <v>1.06563383106217</v>
      </c>
      <c r="I13">
        <v>1.0130353935437859</v>
      </c>
      <c r="J13">
        <v>0</v>
      </c>
      <c r="K13">
        <v>0</v>
      </c>
      <c r="L13">
        <v>0</v>
      </c>
      <c r="M13">
        <f t="shared" si="0"/>
        <v>0</v>
      </c>
      <c r="N13">
        <v>0</v>
      </c>
      <c r="O13">
        <v>0</v>
      </c>
      <c r="P13">
        <v>0</v>
      </c>
    </row>
    <row r="14" spans="1:16" x14ac:dyDescent="0.3">
      <c r="A14">
        <v>14</v>
      </c>
      <c r="B14">
        <v>0.1172061814533896</v>
      </c>
      <c r="C14">
        <v>6.3213769990229096E-3</v>
      </c>
      <c r="D14">
        <v>1.026672626244943</v>
      </c>
      <c r="E14">
        <v>0.96421141574013536</v>
      </c>
      <c r="F14">
        <v>1.057953765925878</v>
      </c>
      <c r="G14">
        <v>1.009951403819306</v>
      </c>
      <c r="H14">
        <v>1.062172282728411</v>
      </c>
      <c r="I14">
        <v>1.012586161125105</v>
      </c>
      <c r="J14">
        <v>0</v>
      </c>
      <c r="K14">
        <v>0</v>
      </c>
      <c r="L14">
        <v>0</v>
      </c>
      <c r="M14">
        <f t="shared" si="0"/>
        <v>0</v>
      </c>
      <c r="N14">
        <v>0</v>
      </c>
      <c r="O14">
        <v>0</v>
      </c>
      <c r="P14">
        <v>0</v>
      </c>
    </row>
    <row r="15" spans="1:16" x14ac:dyDescent="0.3">
      <c r="A15">
        <v>15</v>
      </c>
      <c r="B15">
        <v>0.1218956535588314</v>
      </c>
      <c r="C15">
        <v>6.8659720164925284E-3</v>
      </c>
      <c r="D15">
        <v>1.0236718676502909</v>
      </c>
      <c r="E15">
        <v>0.96420471930071983</v>
      </c>
      <c r="F15">
        <v>1.0548617536408711</v>
      </c>
      <c r="G15">
        <v>1.0093065112800219</v>
      </c>
      <c r="H15">
        <v>1.059067890222003</v>
      </c>
      <c r="I15">
        <v>1.012155339668998</v>
      </c>
      <c r="J15">
        <v>0</v>
      </c>
      <c r="K15">
        <v>0</v>
      </c>
      <c r="L15">
        <v>0</v>
      </c>
      <c r="M15">
        <f t="shared" si="0"/>
        <v>0</v>
      </c>
      <c r="N15">
        <v>0</v>
      </c>
      <c r="O15">
        <v>0</v>
      </c>
      <c r="P15">
        <v>0</v>
      </c>
    </row>
    <row r="16" spans="1:16" x14ac:dyDescent="0.3">
      <c r="A16">
        <v>16</v>
      </c>
      <c r="B16">
        <v>0.12612295755810179</v>
      </c>
      <c r="C16">
        <v>8.7754084342055449E-3</v>
      </c>
      <c r="D16">
        <v>1.02096462367617</v>
      </c>
      <c r="E16">
        <v>0.96419935244581334</v>
      </c>
      <c r="F16">
        <v>1.052071983542938</v>
      </c>
      <c r="G16">
        <v>1.0087040860915399</v>
      </c>
      <c r="H16">
        <v>1.0562670155971949</v>
      </c>
      <c r="I16">
        <v>1.0117420418698391</v>
      </c>
      <c r="J16">
        <v>0</v>
      </c>
      <c r="K16">
        <v>0</v>
      </c>
      <c r="L16">
        <v>0</v>
      </c>
      <c r="M16">
        <f t="shared" si="0"/>
        <v>0</v>
      </c>
      <c r="N16">
        <v>0</v>
      </c>
      <c r="O16">
        <v>0</v>
      </c>
      <c r="P16">
        <v>0</v>
      </c>
    </row>
    <row r="17" spans="1:16" x14ac:dyDescent="0.3">
      <c r="A17">
        <v>17</v>
      </c>
      <c r="B17">
        <v>0.12981753486408021</v>
      </c>
      <c r="C17">
        <v>1.227836238097257E-2</v>
      </c>
      <c r="D17">
        <v>1.018508699593853</v>
      </c>
      <c r="E17">
        <v>0.9641949510741965</v>
      </c>
      <c r="F17">
        <v>1.0495414131917451</v>
      </c>
      <c r="G17">
        <v>1.0081406643521591</v>
      </c>
      <c r="H17">
        <v>1.053726472896247</v>
      </c>
      <c r="I17">
        <v>1.011345609697275</v>
      </c>
      <c r="J17">
        <v>0</v>
      </c>
      <c r="K17">
        <v>0</v>
      </c>
      <c r="L17">
        <v>0</v>
      </c>
      <c r="M17">
        <f t="shared" si="0"/>
        <v>0</v>
      </c>
      <c r="N17">
        <v>0</v>
      </c>
      <c r="O17">
        <v>0</v>
      </c>
      <c r="P17">
        <v>0</v>
      </c>
    </row>
    <row r="18" spans="1:16" x14ac:dyDescent="0.3">
      <c r="A18">
        <v>18</v>
      </c>
      <c r="B18">
        <v>0.13113755061452179</v>
      </c>
      <c r="C18">
        <v>1.574519147280817E-2</v>
      </c>
      <c r="D18">
        <v>1.0236551105497791</v>
      </c>
      <c r="E18">
        <v>0.96419224175997686</v>
      </c>
      <c r="F18">
        <v>1.0548441281266581</v>
      </c>
      <c r="G18">
        <v>1.0076127757718261</v>
      </c>
      <c r="H18">
        <v>1.059050471122678</v>
      </c>
      <c r="I18">
        <v>1.0109651696828661</v>
      </c>
      <c r="J18">
        <v>0</v>
      </c>
      <c r="K18">
        <v>0</v>
      </c>
      <c r="L18">
        <v>0</v>
      </c>
      <c r="M18">
        <f t="shared" si="0"/>
        <v>0</v>
      </c>
      <c r="N18">
        <v>0</v>
      </c>
      <c r="O18">
        <v>0</v>
      </c>
      <c r="P18">
        <v>0</v>
      </c>
    </row>
    <row r="19" spans="1:16" x14ac:dyDescent="0.3">
      <c r="A19">
        <v>19</v>
      </c>
      <c r="B19">
        <v>0.13190973584304899</v>
      </c>
      <c r="C19">
        <v>2.0882947346198669E-2</v>
      </c>
      <c r="D19">
        <v>1.020924603889104</v>
      </c>
      <c r="E19">
        <v>0.96419003125330949</v>
      </c>
      <c r="F19">
        <v>1.052030670256249</v>
      </c>
      <c r="G19">
        <v>1.0071183451841521</v>
      </c>
      <c r="H19">
        <v>1.0562257091528899</v>
      </c>
      <c r="I19">
        <v>1.0105999494972171</v>
      </c>
      <c r="J19">
        <v>0</v>
      </c>
      <c r="K19">
        <v>0</v>
      </c>
      <c r="L19">
        <v>0</v>
      </c>
      <c r="M19">
        <f t="shared" si="0"/>
        <v>0</v>
      </c>
      <c r="N19">
        <v>0</v>
      </c>
      <c r="O19">
        <v>0</v>
      </c>
      <c r="P19">
        <v>0</v>
      </c>
    </row>
    <row r="20" spans="1:16" x14ac:dyDescent="0.3">
      <c r="A20">
        <v>20</v>
      </c>
      <c r="B20">
        <v>0.13217878243833869</v>
      </c>
      <c r="C20">
        <v>2.7533148371098552E-2</v>
      </c>
      <c r="D20">
        <v>1.018450140035889</v>
      </c>
      <c r="E20">
        <v>0.96418919375731049</v>
      </c>
      <c r="F20">
        <v>1.049480814053761</v>
      </c>
      <c r="G20">
        <v>1.0066537685638339</v>
      </c>
      <c r="H20">
        <v>1.0536658064180899</v>
      </c>
      <c r="I20">
        <v>1.010249705135895</v>
      </c>
      <c r="J20">
        <v>0</v>
      </c>
      <c r="K20">
        <v>0</v>
      </c>
      <c r="L20">
        <v>0</v>
      </c>
      <c r="M20">
        <f t="shared" si="0"/>
        <v>0</v>
      </c>
      <c r="N20">
        <v>0</v>
      </c>
      <c r="O20">
        <v>0</v>
      </c>
      <c r="P20">
        <v>0</v>
      </c>
    </row>
    <row r="21" spans="1:16" x14ac:dyDescent="0.3">
      <c r="A21">
        <v>21</v>
      </c>
      <c r="B21">
        <v>0.13198780743486349</v>
      </c>
      <c r="C21">
        <v>3.5536086997498113E-2</v>
      </c>
      <c r="D21">
        <v>1.0161964636578249</v>
      </c>
      <c r="E21">
        <v>0.96418944056244937</v>
      </c>
      <c r="F21">
        <v>1.0471585179772049</v>
      </c>
      <c r="G21">
        <v>1.006217551631432</v>
      </c>
      <c r="H21">
        <v>1.0513339720849439</v>
      </c>
      <c r="I21">
        <v>1.00991323262692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>
        <v>22</v>
      </c>
      <c r="B22">
        <v>0.1313786181903378</v>
      </c>
      <c r="C22">
        <v>4.4732810464672479E-2</v>
      </c>
      <c r="D22">
        <v>1.0141345461840749</v>
      </c>
      <c r="E22">
        <v>0.96419056255006785</v>
      </c>
      <c r="F22">
        <v>1.045033764968492</v>
      </c>
      <c r="G22">
        <v>1.0058067460091069</v>
      </c>
      <c r="H22">
        <v>1.04920118418018</v>
      </c>
      <c r="I22">
        <v>1.0095907143691769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>
        <v>23</v>
      </c>
      <c r="B23">
        <v>0.129295100277389</v>
      </c>
      <c r="C23">
        <v>5.3918620346481649E-2</v>
      </c>
      <c r="D23">
        <v>1.0167222732523531</v>
      </c>
      <c r="E23">
        <v>0.96419304860565691</v>
      </c>
      <c r="F23">
        <v>1.047700249045598</v>
      </c>
      <c r="G23">
        <v>1.0054202231596729</v>
      </c>
      <c r="H23">
        <v>1.0518779987072899</v>
      </c>
      <c r="I23">
        <v>1.0092807040928991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>
        <v>24</v>
      </c>
      <c r="B24">
        <v>0.12680297644345639</v>
      </c>
      <c r="C24">
        <v>6.4207349844759509E-2</v>
      </c>
      <c r="D24">
        <v>1.014603030332675</v>
      </c>
      <c r="E24">
        <v>0.96419636028160316</v>
      </c>
      <c r="F24">
        <v>1.0455165311329271</v>
      </c>
      <c r="G24">
        <v>1.0050555683270139</v>
      </c>
      <c r="H24">
        <v>1.0496856374603909</v>
      </c>
      <c r="I24">
        <v>1.008983433968577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>
        <v>25</v>
      </c>
      <c r="B25">
        <v>0.1238667927007864</v>
      </c>
      <c r="C25">
        <v>7.565810030739506E-2</v>
      </c>
      <c r="D25">
        <v>1.0126594152574591</v>
      </c>
      <c r="E25">
        <v>0.96420065188385984</v>
      </c>
      <c r="F25">
        <v>1.0435136366398861</v>
      </c>
      <c r="G25">
        <v>1.0047117022239449</v>
      </c>
      <c r="H25">
        <v>1.0476748083498619</v>
      </c>
      <c r="I25">
        <v>1.0086978823049011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>
        <v>26</v>
      </c>
      <c r="B26">
        <v>0.1204492425502979</v>
      </c>
      <c r="C26">
        <v>8.8325206459551442E-2</v>
      </c>
      <c r="D26">
        <v>1.0108701810980549</v>
      </c>
      <c r="E26">
        <v>0.964206001382929</v>
      </c>
      <c r="F26">
        <v>1.0416696483459671</v>
      </c>
      <c r="G26">
        <v>1.0043870763164271</v>
      </c>
      <c r="H26">
        <v>1.045823469984293</v>
      </c>
      <c r="I26">
        <v>1.008423602176898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>
        <v>27</v>
      </c>
      <c r="B27">
        <v>0.1165108438790288</v>
      </c>
      <c r="C27">
        <v>0.1022579275273672</v>
      </c>
      <c r="D27">
        <v>1.009217075724391</v>
      </c>
      <c r="E27">
        <v>0.96421214299249614</v>
      </c>
      <c r="F27">
        <v>1.0399664860582349</v>
      </c>
      <c r="G27">
        <v>1.004079901947599</v>
      </c>
      <c r="H27">
        <v>1.044113483303923</v>
      </c>
      <c r="I27">
        <v>1.008160585069555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>
        <v>28</v>
      </c>
      <c r="B28">
        <v>0.11127001432593971</v>
      </c>
      <c r="C28">
        <v>0.116640490722244</v>
      </c>
      <c r="D28">
        <v>1.011301102959038</v>
      </c>
      <c r="E28">
        <v>0.9642190133120242</v>
      </c>
      <c r="F28">
        <v>1.0421140926977459</v>
      </c>
      <c r="G28">
        <v>1.003789850342494</v>
      </c>
      <c r="H28">
        <v>1.0462696548257451</v>
      </c>
      <c r="I28">
        <v>1.007907651002272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>
        <v>29</v>
      </c>
      <c r="B29">
        <v>0.1056163555127112</v>
      </c>
      <c r="C29">
        <v>0.13185358353107321</v>
      </c>
      <c r="D29">
        <v>1.009606000883728</v>
      </c>
      <c r="E29">
        <v>0.9642273287738421</v>
      </c>
      <c r="F29">
        <v>1.040367095136786</v>
      </c>
      <c r="G29">
        <v>1.003514962055944</v>
      </c>
      <c r="H29">
        <v>1.044515510944799</v>
      </c>
      <c r="I29">
        <v>1.007664835978606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>
        <v>30</v>
      </c>
      <c r="B30">
        <v>9.9701465999829431E-2</v>
      </c>
      <c r="C30">
        <v>0.1474406193347573</v>
      </c>
      <c r="D30">
        <v>1.0080363938275101</v>
      </c>
      <c r="E30">
        <v>0.96423587229746788</v>
      </c>
      <c r="F30">
        <v>1.03874978522372</v>
      </c>
      <c r="G30">
        <v>1.0032546686110611</v>
      </c>
      <c r="H30">
        <v>1.042891972168674</v>
      </c>
      <c r="I30">
        <v>1.0074317168191591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>
        <v>31</v>
      </c>
      <c r="B31">
        <v>9.3680430803949832E-2</v>
      </c>
      <c r="C31">
        <v>0.1629708201704427</v>
      </c>
      <c r="D31">
        <v>1.006579591802786</v>
      </c>
      <c r="E31">
        <v>0.96424569085192469</v>
      </c>
      <c r="F31">
        <v>1.037248479555668</v>
      </c>
      <c r="G31">
        <v>1.0030074985817921</v>
      </c>
      <c r="H31">
        <v>1.041384862565365</v>
      </c>
      <c r="I31">
        <v>1.0072080068592331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>
        <v>32</v>
      </c>
      <c r="B32">
        <v>8.7712666349973212E-2</v>
      </c>
      <c r="C32">
        <v>0.1780376788629727</v>
      </c>
      <c r="D32">
        <v>1.00522297962894</v>
      </c>
      <c r="E32">
        <v>0.96425602503047592</v>
      </c>
      <c r="F32">
        <v>1.0358506129795719</v>
      </c>
      <c r="G32">
        <v>1.002773857572252</v>
      </c>
      <c r="H32">
        <v>1.0399810773100691</v>
      </c>
      <c r="I32">
        <v>1.0069925062335039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>
        <v>33</v>
      </c>
      <c r="B33">
        <v>8.0931337932353742E-2</v>
      </c>
      <c r="C33">
        <v>0.19143937699994501</v>
      </c>
      <c r="D33">
        <v>1.0050566931325451</v>
      </c>
      <c r="E33">
        <v>0.96426719180768428</v>
      </c>
      <c r="F33">
        <v>1.035679416889252</v>
      </c>
      <c r="G33">
        <v>1.0025513858440871</v>
      </c>
      <c r="H33">
        <v>1.039809281896884</v>
      </c>
      <c r="I33">
        <v>1.0067860171964429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>
        <v>34</v>
      </c>
      <c r="B34">
        <v>7.4160755936156342E-2</v>
      </c>
      <c r="C34">
        <v>0.20452590987982869</v>
      </c>
      <c r="D34">
        <v>1.0037988409007741</v>
      </c>
      <c r="E34">
        <v>0.96427933839125268</v>
      </c>
      <c r="F34">
        <v>1.03438308731472</v>
      </c>
      <c r="G34">
        <v>1.0023403060403311</v>
      </c>
      <c r="H34">
        <v>1.038507654304663</v>
      </c>
      <c r="I34">
        <v>1.0065873758018979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">
      <c r="A35">
        <v>35</v>
      </c>
      <c r="B35">
        <v>6.7189478163760086E-2</v>
      </c>
      <c r="C35">
        <v>0.21780969754121141</v>
      </c>
      <c r="D35">
        <v>1.002621490203204</v>
      </c>
      <c r="E35">
        <v>0.9642919799666162</v>
      </c>
      <c r="F35">
        <v>1.033169771444062</v>
      </c>
      <c r="G35">
        <v>1.002139642374247</v>
      </c>
      <c r="H35">
        <v>1.037289645937693</v>
      </c>
      <c r="I35">
        <v>1.006396598619399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3">
      <c r="A36">
        <v>36</v>
      </c>
      <c r="B36">
        <v>5.9798590173658177E-2</v>
      </c>
      <c r="C36">
        <v>0.23177965107888451</v>
      </c>
      <c r="D36">
        <v>1.001517339787205</v>
      </c>
      <c r="E36">
        <v>0.96430542653634366</v>
      </c>
      <c r="F36">
        <v>1.032031913141082</v>
      </c>
      <c r="G36">
        <v>1.001948512382673</v>
      </c>
      <c r="H36">
        <v>1.036147460979929</v>
      </c>
      <c r="I36">
        <v>1.0062134819542849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">
      <c r="A37">
        <v>37</v>
      </c>
      <c r="B37">
        <v>5.176021280578702E-2</v>
      </c>
      <c r="C37">
        <v>0.24690119912702579</v>
      </c>
      <c r="D37">
        <v>1.0004792500952311</v>
      </c>
      <c r="E37">
        <v>0.9643192317422471</v>
      </c>
      <c r="F37">
        <v>1.0309626331294139</v>
      </c>
      <c r="G37">
        <v>1.001767305561676</v>
      </c>
      <c r="H37">
        <v>1.0350734634113921</v>
      </c>
      <c r="I37">
        <v>1.006037037941526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>
        <v>38</v>
      </c>
      <c r="B38">
        <v>4.1668241653150417E-2</v>
      </c>
      <c r="C38">
        <v>0.2622588206008869</v>
      </c>
      <c r="D38">
        <v>0.99924840367590984</v>
      </c>
      <c r="E38">
        <v>0.96433421727321589</v>
      </c>
      <c r="F38">
        <v>1.029693826671509</v>
      </c>
      <c r="G38">
        <v>1.001593945794196</v>
      </c>
      <c r="H38">
        <v>1.033800040839925</v>
      </c>
      <c r="I38">
        <v>1.0058680065850021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3">
      <c r="A39">
        <v>39</v>
      </c>
      <c r="B39">
        <v>3.0790906773438209E-2</v>
      </c>
      <c r="C39">
        <v>0.27885278909789729</v>
      </c>
      <c r="D39">
        <v>0.99834073873419027</v>
      </c>
      <c r="E39">
        <v>0.96434933307014847</v>
      </c>
      <c r="F39">
        <v>1.0287588010608011</v>
      </c>
      <c r="G39">
        <v>1.0014294891637061</v>
      </c>
      <c r="H39">
        <v>1.032861023767816</v>
      </c>
      <c r="I39">
        <v>1.0057050886323291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3">
      <c r="A40">
        <v>40</v>
      </c>
      <c r="B40">
        <v>1.923503475108301E-2</v>
      </c>
      <c r="C40">
        <v>0.29634395711823291</v>
      </c>
      <c r="D40">
        <v>0.99748281588782339</v>
      </c>
      <c r="E40">
        <v>0.96436534597147006</v>
      </c>
      <c r="F40">
        <v>1.0278746708469011</v>
      </c>
      <c r="G40">
        <v>1.0012725302975301</v>
      </c>
      <c r="H40">
        <v>1.031973262642546</v>
      </c>
      <c r="I40">
        <v>1.0055485920235649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3">
      <c r="A41">
        <v>41</v>
      </c>
      <c r="B41">
        <v>7.1119333021343323E-3</v>
      </c>
      <c r="C41">
        <v>0.31441049127939552</v>
      </c>
      <c r="D41">
        <v>0.9966702001154818</v>
      </c>
      <c r="E41">
        <v>0.96438179138952307</v>
      </c>
      <c r="F41">
        <v>1.0270372164577299</v>
      </c>
      <c r="G41">
        <v>1.001122586991094</v>
      </c>
      <c r="H41">
        <v>1.0311327619975119</v>
      </c>
      <c r="I41">
        <v>1.0053983777138831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3">
      <c r="A42">
        <v>42</v>
      </c>
      <c r="B42">
        <v>-5.461311190592788E-3</v>
      </c>
      <c r="C42">
        <v>0.33274865410800603</v>
      </c>
      <c r="D42">
        <v>0.9958994107539263</v>
      </c>
      <c r="E42">
        <v>0.96439871915173014</v>
      </c>
      <c r="F42">
        <v>1.0262429526038721</v>
      </c>
      <c r="G42">
        <v>1.000979796246203</v>
      </c>
      <c r="H42">
        <v>1.0303353889679661</v>
      </c>
      <c r="I42">
        <v>1.005253757812169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3">
      <c r="A43">
        <v>43</v>
      </c>
      <c r="B43">
        <v>-1.9566610131938059E-2</v>
      </c>
      <c r="C43">
        <v>0.349982602197354</v>
      </c>
      <c r="D43">
        <v>0.99462018358166926</v>
      </c>
      <c r="E43">
        <v>0.96441659190890672</v>
      </c>
      <c r="F43">
        <v>1.0249246621350561</v>
      </c>
      <c r="G43">
        <v>1.00084351640758</v>
      </c>
      <c r="H43">
        <v>1.0290114607016181</v>
      </c>
      <c r="I43">
        <v>1.0051146198697971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3">
      <c r="A44">
        <v>44</v>
      </c>
      <c r="B44">
        <v>-3.4117252737376091E-2</v>
      </c>
      <c r="C44">
        <v>0.3673737641031809</v>
      </c>
      <c r="D44">
        <v>0.99395110092980454</v>
      </c>
      <c r="E44">
        <v>0.96443453384671096</v>
      </c>
      <c r="F44">
        <v>1.0242354238823821</v>
      </c>
      <c r="G44">
        <v>1.000713420161365</v>
      </c>
      <c r="H44">
        <v>1.0283192728799611</v>
      </c>
      <c r="I44">
        <v>1.0049808597612939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">
      <c r="A45">
        <v>45</v>
      </c>
      <c r="B45">
        <v>-4.9231868790057483E-2</v>
      </c>
      <c r="C45">
        <v>0.38509087900528011</v>
      </c>
      <c r="D45">
        <v>0.99331346185773872</v>
      </c>
      <c r="E45">
        <v>0.96445312039303155</v>
      </c>
      <c r="F45">
        <v>1.0235783004145731</v>
      </c>
      <c r="G45">
        <v>1.000589175426883</v>
      </c>
      <c r="H45">
        <v>1.0276593732981061</v>
      </c>
      <c r="I45">
        <v>1.0048521603072911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>
        <v>46</v>
      </c>
      <c r="B46">
        <v>-6.5037249085475146E-2</v>
      </c>
      <c r="C46">
        <v>0.40329132079367552</v>
      </c>
      <c r="D46">
        <v>0.99270489672924556</v>
      </c>
      <c r="E46">
        <v>0.96447212057158038</v>
      </c>
      <c r="F46">
        <v>1.0229514764769101</v>
      </c>
      <c r="G46">
        <v>1.00047021077009</v>
      </c>
      <c r="H46">
        <v>1.027029770360895</v>
      </c>
      <c r="I46">
        <v>1.0047285460534521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>
        <v>47</v>
      </c>
      <c r="B47">
        <v>-8.1669596264416278E-2</v>
      </c>
      <c r="C47">
        <v>0.42212117250105102</v>
      </c>
      <c r="D47">
        <v>0.99212311238098505</v>
      </c>
      <c r="E47">
        <v>0.96449118652105825</v>
      </c>
      <c r="F47">
        <v>1.0223522941138701</v>
      </c>
      <c r="G47">
        <v>1.0003567120570811</v>
      </c>
      <c r="H47">
        <v>1.0264281111987481</v>
      </c>
      <c r="I47">
        <v>1.004609498034239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>
        <v>48</v>
      </c>
      <c r="B48">
        <v>-0.10027093842103429</v>
      </c>
      <c r="C48">
        <v>0.44044528921623938</v>
      </c>
      <c r="D48">
        <v>0.99174843530633694</v>
      </c>
      <c r="E48">
        <v>0.96451134648201742</v>
      </c>
      <c r="F48">
        <v>1.021965866267138</v>
      </c>
      <c r="G48">
        <v>1.0002480520944359</v>
      </c>
      <c r="H48">
        <v>1.026039966405603</v>
      </c>
      <c r="I48">
        <v>1.0044949489363819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>
        <v>49</v>
      </c>
      <c r="B49">
        <v>-0.1193640589336518</v>
      </c>
      <c r="C49">
        <v>0.45865483356574233</v>
      </c>
      <c r="D49">
        <v>0.99120802728206503</v>
      </c>
      <c r="E49">
        <v>0.96453141425634825</v>
      </c>
      <c r="F49">
        <v>1.0214091866410879</v>
      </c>
      <c r="G49">
        <v>1.000143736457981</v>
      </c>
      <c r="H49">
        <v>1.025481192894691</v>
      </c>
      <c r="I49">
        <v>1.0043850558397289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>
        <v>50</v>
      </c>
      <c r="B50">
        <v>-0.13842032641620339</v>
      </c>
      <c r="C50">
        <v>0.47593020831404509</v>
      </c>
      <c r="D50">
        <v>0.99069058369438212</v>
      </c>
      <c r="E50">
        <v>0.96455204149003948</v>
      </c>
      <c r="F50">
        <v>1.0208760192477491</v>
      </c>
      <c r="G50">
        <v>1.000044112188921</v>
      </c>
      <c r="H50">
        <v>1.0249457491288629</v>
      </c>
      <c r="I50">
        <v>1.0042791088083829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>
        <v>51</v>
      </c>
      <c r="B51">
        <v>-0.15686532894000391</v>
      </c>
      <c r="C51">
        <v>0.49150009271583928</v>
      </c>
      <c r="D51">
        <v>0.99019433159766401</v>
      </c>
      <c r="E51">
        <v>0.96457285365889067</v>
      </c>
      <c r="F51">
        <v>1.0203644949731481</v>
      </c>
      <c r="G51">
        <v>0.99994870590632523</v>
      </c>
      <c r="H51">
        <v>1.0244324148716271</v>
      </c>
      <c r="I51">
        <v>1.004177172453637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>
        <v>52</v>
      </c>
      <c r="B52">
        <v>-0.17407747028501849</v>
      </c>
      <c r="C52">
        <v>0.50462819969070649</v>
      </c>
      <c r="D52">
        <v>0.98971829224772945</v>
      </c>
      <c r="E52">
        <v>0.96459413731686017</v>
      </c>
      <c r="F52">
        <v>1.0198740601236409</v>
      </c>
      <c r="G52">
        <v>0.99985723715214447</v>
      </c>
      <c r="H52">
        <v>1.0239398653315299</v>
      </c>
      <c r="I52">
        <v>1.0040790989281489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>
        <v>53</v>
      </c>
      <c r="B53">
        <v>-0.19041768541944479</v>
      </c>
      <c r="C53">
        <v>0.51400891794125547</v>
      </c>
      <c r="D53">
        <v>0.98772230508291559</v>
      </c>
      <c r="E53">
        <v>0.96461567132292514</v>
      </c>
      <c r="F53">
        <v>1.0178171986566189</v>
      </c>
      <c r="G53">
        <v>0.99976937438542934</v>
      </c>
      <c r="H53">
        <v>1.0218750228291129</v>
      </c>
      <c r="I53">
        <v>1.003984854789008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>
        <v>54</v>
      </c>
      <c r="B54">
        <v>-0.2053069449371332</v>
      </c>
      <c r="C54">
        <v>0.5210120160757441</v>
      </c>
      <c r="D54">
        <v>0.98734177388178057</v>
      </c>
      <c r="E54">
        <v>0.96463758471572369</v>
      </c>
      <c r="F54">
        <v>1.0174250955984661</v>
      </c>
      <c r="G54">
        <v>0.99968532668125742</v>
      </c>
      <c r="H54">
        <v>1.021481231547736</v>
      </c>
      <c r="I54">
        <v>1.003893981898514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>
        <v>55</v>
      </c>
      <c r="B55">
        <v>-0.21921686681069549</v>
      </c>
      <c r="C55">
        <v>0.52639445966996457</v>
      </c>
      <c r="D55">
        <v>0.98697446351095131</v>
      </c>
      <c r="E55">
        <v>0.96465953759325229</v>
      </c>
      <c r="F55">
        <v>1.0170466182072999</v>
      </c>
      <c r="G55">
        <v>0.99960494472961237</v>
      </c>
      <c r="H55">
        <v>1.0211012121248151</v>
      </c>
      <c r="I55">
        <v>1.0038063541617519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>
        <v>56</v>
      </c>
      <c r="B56">
        <v>-0.23265422674327979</v>
      </c>
      <c r="C56">
        <v>0.53089017804830885</v>
      </c>
      <c r="D56">
        <v>0.98662024095817158</v>
      </c>
      <c r="E56">
        <v>0.96468205769578907</v>
      </c>
      <c r="F56">
        <v>1.0166815332592309</v>
      </c>
      <c r="G56">
        <v>0.99952738088828563</v>
      </c>
      <c r="H56">
        <v>1.020734699269092</v>
      </c>
      <c r="I56">
        <v>1.0037222781635979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>
        <v>57</v>
      </c>
      <c r="B57">
        <v>-0.24615946381424611</v>
      </c>
      <c r="C57">
        <v>0.53522058355441748</v>
      </c>
      <c r="D57">
        <v>0.98627814485157272</v>
      </c>
      <c r="E57">
        <v>0.96470481774146699</v>
      </c>
      <c r="F57">
        <v>1.0163289827227739</v>
      </c>
      <c r="G57">
        <v>0.99945294203360691</v>
      </c>
      <c r="H57">
        <v>1.0203807120754509</v>
      </c>
      <c r="I57">
        <v>1.003641314777719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3">
      <c r="A58">
        <v>58</v>
      </c>
      <c r="B58">
        <v>-0.26079469879156258</v>
      </c>
      <c r="C58">
        <v>0.53940980342272393</v>
      </c>
      <c r="D58">
        <v>0.98371922016257773</v>
      </c>
      <c r="E58">
        <v>0.9647272246957842</v>
      </c>
      <c r="F58">
        <v>1.0136922833479161</v>
      </c>
      <c r="G58">
        <v>0.99938197173375354</v>
      </c>
      <c r="H58">
        <v>1.01773352398734</v>
      </c>
      <c r="I58">
        <v>1.003563034750838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3">
      <c r="A59">
        <v>59</v>
      </c>
      <c r="B59">
        <v>-0.2761375090929441</v>
      </c>
      <c r="C59">
        <v>0.54417644644414365</v>
      </c>
      <c r="D59">
        <v>0.98346965563370081</v>
      </c>
      <c r="E59">
        <v>0.96475038973625704</v>
      </c>
      <c r="F59">
        <v>1.0134349743657769</v>
      </c>
      <c r="G59">
        <v>0.9993132861601095</v>
      </c>
      <c r="H59">
        <v>1.017475297527608</v>
      </c>
      <c r="I59">
        <v>1.0034879708101569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3">
      <c r="A60">
        <v>60</v>
      </c>
      <c r="B60">
        <v>-0.29225342700041201</v>
      </c>
      <c r="C60">
        <v>0.54955481566361053</v>
      </c>
      <c r="D60">
        <v>0.98322723231000475</v>
      </c>
      <c r="E60">
        <v>0.96477370799501361</v>
      </c>
      <c r="F60">
        <v>1.0131851143016131</v>
      </c>
      <c r="G60">
        <v>0.99924754438101071</v>
      </c>
      <c r="H60">
        <v>1.0172243061329149</v>
      </c>
      <c r="I60">
        <v>1.0034154905545649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3">
      <c r="A61">
        <v>61</v>
      </c>
      <c r="B61">
        <v>-0.3092137850410448</v>
      </c>
      <c r="C61">
        <v>0.55557825880098388</v>
      </c>
      <c r="D61">
        <v>0.98299150834300153</v>
      </c>
      <c r="E61">
        <v>0.96479701754999714</v>
      </c>
      <c r="F61">
        <v>1.0129422047820129</v>
      </c>
      <c r="G61">
        <v>0.99918432307087035</v>
      </c>
      <c r="H61">
        <v>1.016980476261907</v>
      </c>
      <c r="I61">
        <v>1.003345710234985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3">
      <c r="A62">
        <v>62</v>
      </c>
      <c r="B62">
        <v>-0.32709655128044579</v>
      </c>
      <c r="C62">
        <v>0.56227902415525355</v>
      </c>
      <c r="D62">
        <v>0.98276235381652721</v>
      </c>
      <c r="E62">
        <v>0.96482044765348074</v>
      </c>
      <c r="F62">
        <v>1.0127062885974389</v>
      </c>
      <c r="G62">
        <v>0.99912346553182241</v>
      </c>
      <c r="H62">
        <v>1.0167435344971689</v>
      </c>
      <c r="I62">
        <v>1.003278537571209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3">
      <c r="A63">
        <v>63</v>
      </c>
      <c r="B63">
        <v>-0.34637857672153022</v>
      </c>
      <c r="C63">
        <v>0.56920162495501003</v>
      </c>
      <c r="D63">
        <v>0.98099749426939797</v>
      </c>
      <c r="E63">
        <v>0.96484409628526857</v>
      </c>
      <c r="F63">
        <v>1.0108874076739729</v>
      </c>
      <c r="G63">
        <v>0.99906527171903281</v>
      </c>
      <c r="H63">
        <v>1.0149174552033231</v>
      </c>
      <c r="I63">
        <v>1.0032135702846741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3">
      <c r="A64">
        <v>64</v>
      </c>
      <c r="B64">
        <v>-0.36648893629097401</v>
      </c>
      <c r="C64">
        <v>0.57655879031757484</v>
      </c>
      <c r="D64">
        <v>0.98082069581656239</v>
      </c>
      <c r="E64">
        <v>0.96486802232860158</v>
      </c>
      <c r="F64">
        <v>1.0107052839322559</v>
      </c>
      <c r="G64">
        <v>0.99900872194520685</v>
      </c>
      <c r="H64">
        <v>1.01473458908928</v>
      </c>
      <c r="I64">
        <v>1.003151354028208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3">
      <c r="A65">
        <v>65</v>
      </c>
      <c r="B65">
        <v>-0.38722779563738768</v>
      </c>
      <c r="C65">
        <v>0.58408729397111259</v>
      </c>
      <c r="D65">
        <v>0.98064773180056064</v>
      </c>
      <c r="E65">
        <v>0.96489156075299998</v>
      </c>
      <c r="F65">
        <v>1.010527302708939</v>
      </c>
      <c r="G65">
        <v>0.99895479683502619</v>
      </c>
      <c r="H65">
        <v>1.0145558878875269</v>
      </c>
      <c r="I65">
        <v>1.0030910758895299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>
        <v>66</v>
      </c>
      <c r="B66">
        <v>-0.40837618735722092</v>
      </c>
      <c r="C66">
        <v>0.5915294484701481</v>
      </c>
      <c r="D66">
        <v>0.98047953754049255</v>
      </c>
      <c r="E66">
        <v>0.96491576409810942</v>
      </c>
      <c r="F66">
        <v>1.010353637937851</v>
      </c>
      <c r="G66">
        <v>0.99890253523345773</v>
      </c>
      <c r="H66">
        <v>1.0143817405757829</v>
      </c>
      <c r="I66">
        <v>1.0030331827135239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>
        <v>67</v>
      </c>
      <c r="B67">
        <v>-0.42969324106541462</v>
      </c>
      <c r="C67">
        <v>0.59863271894197201</v>
      </c>
      <c r="D67">
        <v>0.98031519435500214</v>
      </c>
      <c r="E67">
        <v>0.96493985490696565</v>
      </c>
      <c r="F67">
        <v>1.0101843962808661</v>
      </c>
      <c r="G67">
        <v>0.99885264623196701</v>
      </c>
      <c r="H67">
        <v>1.014211487550027</v>
      </c>
      <c r="I67">
        <v>1.0029770816846491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>
        <v>68</v>
      </c>
      <c r="B68">
        <v>-0.45135646287731662</v>
      </c>
      <c r="C68">
        <v>0.60479724381485411</v>
      </c>
      <c r="D68">
        <v>0.97909536990478352</v>
      </c>
      <c r="E68">
        <v>0.96496375557373482</v>
      </c>
      <c r="F68">
        <v>1.008927533406839</v>
      </c>
      <c r="G68">
        <v>0.99880398566313666</v>
      </c>
      <c r="H68">
        <v>1.012949983588151</v>
      </c>
      <c r="I68">
        <v>1.0029234303296319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3">
      <c r="A69">
        <v>69</v>
      </c>
      <c r="B69">
        <v>-0.47292675023009328</v>
      </c>
      <c r="C69">
        <v>0.6103903506731112</v>
      </c>
      <c r="D69">
        <v>0.97896204187281632</v>
      </c>
      <c r="E69">
        <v>0.9649882353299436</v>
      </c>
      <c r="F69">
        <v>1.0087899518828529</v>
      </c>
      <c r="G69">
        <v>0.99875772617875069</v>
      </c>
      <c r="H69">
        <v>1.0128115198855829</v>
      </c>
      <c r="I69">
        <v>1.0028712301534459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>
        <v>70</v>
      </c>
      <c r="B70">
        <v>-0.49440120066882232</v>
      </c>
      <c r="C70">
        <v>0.61543379460132064</v>
      </c>
      <c r="D70">
        <v>0.97883124438513647</v>
      </c>
      <c r="E70">
        <v>0.96501238293310343</v>
      </c>
      <c r="F70">
        <v>1.008655093898958</v>
      </c>
      <c r="G70">
        <v>0.99871280611336732</v>
      </c>
      <c r="H70">
        <v>1.012676339356182</v>
      </c>
      <c r="I70">
        <v>1.002821143093968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>
        <v>71</v>
      </c>
      <c r="B71">
        <v>-0.51577850920059021</v>
      </c>
      <c r="C71">
        <v>0.61994924113476113</v>
      </c>
      <c r="D71">
        <v>0.97870316438481131</v>
      </c>
      <c r="E71">
        <v>0.96503645738676513</v>
      </c>
      <c r="F71">
        <v>1.008523499365108</v>
      </c>
      <c r="G71">
        <v>0.99866970540132116</v>
      </c>
      <c r="H71">
        <v>1.01254394696682</v>
      </c>
      <c r="I71">
        <v>1.00277269608978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>
        <v>72</v>
      </c>
      <c r="B72">
        <v>-0.53705907177088186</v>
      </c>
      <c r="C72">
        <v>0.62395829936100222</v>
      </c>
      <c r="D72">
        <v>0.97857813874569621</v>
      </c>
      <c r="E72">
        <v>0.96506086293816751</v>
      </c>
      <c r="F72">
        <v>1.00839442260796</v>
      </c>
      <c r="G72">
        <v>0.99862800404225693</v>
      </c>
      <c r="H72">
        <v>1.012414476154011</v>
      </c>
      <c r="I72">
        <v>1.0027260380421019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>
        <v>73</v>
      </c>
      <c r="B73">
        <v>-0.55857689286707224</v>
      </c>
      <c r="C73">
        <v>0.62712831651743617</v>
      </c>
      <c r="D73">
        <v>0.97824952843312873</v>
      </c>
      <c r="E73">
        <v>0.96508521517464718</v>
      </c>
      <c r="F73">
        <v>1.008055721373909</v>
      </c>
      <c r="G73">
        <v>0.99858764678042278</v>
      </c>
      <c r="H73">
        <v>1.0120745466261529</v>
      </c>
      <c r="I73">
        <v>1.002681113631561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>
        <v>74</v>
      </c>
      <c r="B74">
        <v>-0.57993280092853361</v>
      </c>
      <c r="C74">
        <v>0.62976671491025193</v>
      </c>
      <c r="D74">
        <v>0.97813347387983152</v>
      </c>
      <c r="E74">
        <v>0.96510935049928914</v>
      </c>
      <c r="F74">
        <v>1.007936169929345</v>
      </c>
      <c r="G74">
        <v>0.9985488629900483</v>
      </c>
      <c r="H74">
        <v>1.0119546539252471</v>
      </c>
      <c r="I74">
        <v>1.0026376661103571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>
        <v>75</v>
      </c>
      <c r="B75">
        <v>-0.60104476453010047</v>
      </c>
      <c r="C75">
        <v>0.63182848256804913</v>
      </c>
      <c r="D75">
        <v>0.97801998766046927</v>
      </c>
      <c r="E75">
        <v>0.96513365320705091</v>
      </c>
      <c r="F75">
        <v>1.0078192982197149</v>
      </c>
      <c r="G75">
        <v>0.99851154674194564</v>
      </c>
      <c r="H75">
        <v>1.0118371493891709</v>
      </c>
      <c r="I75">
        <v>1.002595646752573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>
        <v>76</v>
      </c>
      <c r="B76">
        <v>-0.62181993068103436</v>
      </c>
      <c r="C76">
        <v>0.63326440529623662</v>
      </c>
      <c r="D76">
        <v>0.97790880394617807</v>
      </c>
      <c r="E76">
        <v>0.9651579188757804</v>
      </c>
      <c r="F76">
        <v>1.007704752880058</v>
      </c>
      <c r="G76">
        <v>0.99847563845933562</v>
      </c>
      <c r="H76">
        <v>1.011721974897803</v>
      </c>
      <c r="I76">
        <v>1.0025550089833259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>
        <v>77</v>
      </c>
      <c r="B77">
        <v>-0.64215407355411758</v>
      </c>
      <c r="C77">
        <v>0.63402079845406512</v>
      </c>
      <c r="D77">
        <v>0.97779984218299232</v>
      </c>
      <c r="E77">
        <v>0.9651821238771755</v>
      </c>
      <c r="F77">
        <v>1.0075924101609139</v>
      </c>
      <c r="G77">
        <v>0.99844046101964723</v>
      </c>
      <c r="H77">
        <v>1.011609483090802</v>
      </c>
      <c r="I77">
        <v>1.0025161132527991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>
        <v>78</v>
      </c>
      <c r="B78">
        <v>-0.66206562066183094</v>
      </c>
      <c r="C78">
        <v>0.63393592866546644</v>
      </c>
      <c r="D78">
        <v>0.97742627760439582</v>
      </c>
      <c r="E78">
        <v>0.96520636146868344</v>
      </c>
      <c r="F78">
        <v>1.0072073056946651</v>
      </c>
      <c r="G78">
        <v>0.99840699851270176</v>
      </c>
      <c r="H78">
        <v>1.011222810877209</v>
      </c>
      <c r="I78">
        <v>1.0024782063054221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>
        <v>79</v>
      </c>
      <c r="B79">
        <v>-0.68140524309252459</v>
      </c>
      <c r="C79">
        <v>0.63312913920237657</v>
      </c>
      <c r="D79">
        <v>0.97732643085088278</v>
      </c>
      <c r="E79">
        <v>0.96523044310669848</v>
      </c>
      <c r="F79">
        <v>1.0071048318056051</v>
      </c>
      <c r="G79">
        <v>0.99837459071927748</v>
      </c>
      <c r="H79">
        <v>1.011119502268025</v>
      </c>
      <c r="I79">
        <v>1.002441653342282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">
      <c r="A80">
        <v>80</v>
      </c>
      <c r="B80">
        <v>-0.70015651957874336</v>
      </c>
      <c r="C80">
        <v>0.6316169901761719</v>
      </c>
      <c r="D80">
        <v>0.97722854815594118</v>
      </c>
      <c r="E80">
        <v>0.96525449477889569</v>
      </c>
      <c r="F80">
        <v>1.007003681965257</v>
      </c>
      <c r="G80">
        <v>0.9983428593581537</v>
      </c>
      <c r="H80">
        <v>1.0110184796810029</v>
      </c>
      <c r="I80">
        <v>1.002406615767762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>
        <v>81</v>
      </c>
      <c r="B81">
        <v>-0.7183047061456489</v>
      </c>
      <c r="C81">
        <v>0.62941493646711866</v>
      </c>
      <c r="D81">
        <v>0.97713275418034884</v>
      </c>
      <c r="E81">
        <v>0.96527868391320848</v>
      </c>
      <c r="F81">
        <v>1.006905051577156</v>
      </c>
      <c r="G81">
        <v>0.99831279999395928</v>
      </c>
      <c r="H81">
        <v>1.010918988266073</v>
      </c>
      <c r="I81">
        <v>1.002372351256287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3">
      <c r="A82">
        <v>82</v>
      </c>
      <c r="B82">
        <v>-0.73583678688540033</v>
      </c>
      <c r="C82">
        <v>0.6265373593006589</v>
      </c>
      <c r="D82">
        <v>0.97703845967964931</v>
      </c>
      <c r="E82">
        <v>0.96530247131019509</v>
      </c>
      <c r="F82">
        <v>1.0068078285576689</v>
      </c>
      <c r="G82">
        <v>0.998283163391122</v>
      </c>
      <c r="H82">
        <v>1.0108217974236131</v>
      </c>
      <c r="I82">
        <v>1.002339628927799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>
        <v>83</v>
      </c>
      <c r="B83">
        <v>-0.75246582539394913</v>
      </c>
      <c r="C83">
        <v>0.62327326839239827</v>
      </c>
      <c r="D83">
        <v>0.97675241874177587</v>
      </c>
      <c r="E83">
        <v>0.96532632660702644</v>
      </c>
      <c r="F83">
        <v>1.006513171330623</v>
      </c>
      <c r="G83">
        <v>0.9982549347295826</v>
      </c>
      <c r="H83">
        <v>1.010525781294829</v>
      </c>
      <c r="I83">
        <v>1.0023077117871539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>
        <v>84</v>
      </c>
      <c r="B84">
        <v>-0.76845303759788974</v>
      </c>
      <c r="C84">
        <v>0.6193642525113594</v>
      </c>
      <c r="D84">
        <v>0.97666517271205511</v>
      </c>
      <c r="E84">
        <v>0.96535020225473611</v>
      </c>
      <c r="F84">
        <v>1.006423195428876</v>
      </c>
      <c r="G84">
        <v>0.99822745094969778</v>
      </c>
      <c r="H84">
        <v>1.0104354425711271</v>
      </c>
      <c r="I84">
        <v>1.0022769687806681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>
        <v>85</v>
      </c>
      <c r="B85">
        <v>-0.78379056049943641</v>
      </c>
      <c r="C85">
        <v>0.61482170246984058</v>
      </c>
      <c r="D85">
        <v>0.97657974219606536</v>
      </c>
      <c r="E85">
        <v>0.96537419069843422</v>
      </c>
      <c r="F85">
        <v>1.0063349892089679</v>
      </c>
      <c r="G85">
        <v>0.99820096184869889</v>
      </c>
      <c r="H85">
        <v>1.0103466954120439</v>
      </c>
      <c r="I85">
        <v>1.0022471688970811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3">
      <c r="A86">
        <v>86</v>
      </c>
      <c r="B86">
        <v>-0.7984722506740729</v>
      </c>
      <c r="C86">
        <v>0.60965597117776449</v>
      </c>
      <c r="D86">
        <v>0.97649522149679657</v>
      </c>
      <c r="E86">
        <v>0.96539743183400184</v>
      </c>
      <c r="F86">
        <v>1.0062480601032311</v>
      </c>
      <c r="G86">
        <v>0.99817499579391034</v>
      </c>
      <c r="H86">
        <v>1.010259806998058</v>
      </c>
      <c r="I86">
        <v>1.002218581178886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3">
      <c r="A87">
        <v>87</v>
      </c>
      <c r="B87">
        <v>-0.8124936253386208</v>
      </c>
      <c r="C87">
        <v>0.60387635630510417</v>
      </c>
      <c r="D87">
        <v>0.97641258120295604</v>
      </c>
      <c r="E87">
        <v>0.96542091933274476</v>
      </c>
      <c r="F87">
        <v>1.006163082798943</v>
      </c>
      <c r="G87">
        <v>0.99815022475115756</v>
      </c>
      <c r="H87">
        <v>1.010174243084643</v>
      </c>
      <c r="I87">
        <v>1.0021906798672311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64</vt:i4>
      </vt:variant>
    </vt:vector>
  </HeadingPairs>
  <TitlesOfParts>
    <vt:vector size="69" baseType="lpstr">
      <vt:lpstr>Content</vt:lpstr>
      <vt:lpstr>Data</vt:lpstr>
      <vt:lpstr>Start</vt:lpstr>
      <vt:lpstr>Structural Parameters</vt:lpstr>
      <vt:lpstr>Baseline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phiM_I_1_1_p</vt:lpstr>
      <vt:lpstr>phiM_I_2_1_p</vt:lpstr>
      <vt:lpstr>phiM_I_3_1_p</vt:lpstr>
      <vt:lpstr>phiM_p</vt:lpstr>
      <vt:lpstr>phiN0_1_1_p</vt:lpstr>
      <vt:lpstr>phiN0_2_1_p</vt:lpstr>
      <vt:lpstr>phiN0_3_1_p</vt:lpstr>
      <vt:lpstr>phiQ_D_1_1_1_p</vt:lpstr>
      <vt:lpstr>phiQ_D_2_1_1_p</vt:lpstr>
      <vt:lpstr>phiQ_D_3_1_1_p</vt:lpstr>
      <vt:lpstr>phiQI_1_1_1_p</vt:lpstr>
      <vt:lpstr>phiQI_1_1_2_p</vt:lpstr>
      <vt:lpstr>phiQI_1_1_3_p</vt:lpstr>
      <vt:lpstr>phiQI_1_1_p</vt:lpstr>
      <vt:lpstr>phiQI_2_1_1_p</vt:lpstr>
      <vt:lpstr>phiQI_2_1_2_p</vt:lpstr>
      <vt:lpstr>phiQI_2_1_3_p</vt:lpstr>
      <vt:lpstr>phiQI_2_1_p</vt:lpstr>
      <vt:lpstr>phiQI_3_1_1_p</vt:lpstr>
      <vt:lpstr>phiQI_3_1_2_p</vt:lpstr>
      <vt:lpstr>phiQI_3_1_3_p</vt:lpstr>
      <vt:lpstr>phiQI_3_1_p</vt:lpstr>
      <vt:lpstr>phiW_1_1_p</vt:lpstr>
      <vt:lpstr>phiW_2_1_p</vt:lpstr>
      <vt:lpstr>phiW_3_1_p</vt:lpstr>
      <vt:lpstr>phiX_1_1_p</vt:lpstr>
      <vt:lpstr>phiX_2_1_p</vt:lpstr>
      <vt:lpstr>phiX_3_1_p</vt:lpstr>
      <vt:lpstr>phiY0_1_1_p</vt:lpstr>
      <vt:lpstr>phiY0_2_1_p</vt:lpstr>
      <vt:lpstr>phiY0_3_1_p</vt:lpstr>
      <vt:lpstr>PoP0_1_p</vt:lpstr>
      <vt:lpstr>pr0_1_p</vt:lpstr>
      <vt:lpstr>sE_1_1_p</vt:lpstr>
      <vt:lpstr>sE_2_1_p</vt:lpstr>
      <vt:lpstr>sE_3_1_p</vt:lpstr>
      <vt:lpstr>sEI_1_1_1_p</vt:lpstr>
      <vt:lpstr>sEI_1_1_2_p</vt:lpstr>
      <vt:lpstr>sEI_1_1_3_p</vt:lpstr>
      <vt:lpstr>sEI_2_1_1_p</vt:lpstr>
      <vt:lpstr>sEI_2_1_2_p</vt:lpstr>
      <vt:lpstr>sEI_2_1_3_p</vt:lpstr>
      <vt:lpstr>sEI_3_1_1_p</vt:lpstr>
      <vt:lpstr>sEI_3_1_2_p</vt:lpstr>
      <vt:lpstr>sEI_3_1_3_p</vt:lpstr>
      <vt:lpstr>sfcWind0_1_p</vt:lpstr>
      <vt:lpstr>sH_p</vt:lpstr>
      <vt:lpstr>SL0_p</vt:lpstr>
      <vt:lpstr>tas0_1_p</vt:lpstr>
      <vt:lpstr>tasmax0_1_p</vt:lpstr>
      <vt:lpstr>tasmin0_1_p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 Schult</cp:lastModifiedBy>
  <dcterms:created xsi:type="dcterms:W3CDTF">2024-01-24T13:50:42Z</dcterms:created>
  <dcterms:modified xsi:type="dcterms:W3CDTF">2025-04-08T13:57:44Z</dcterms:modified>
</cp:coreProperties>
</file>