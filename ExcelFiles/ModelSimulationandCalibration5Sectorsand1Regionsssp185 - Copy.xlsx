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9B650F30-6D71-4956-A580-3E1A47D15B5A}" xr6:coauthVersionLast="47" xr6:coauthVersionMax="47" xr10:uidLastSave="{00000000-0000-0000-0000-000000000000}"/>
  <bookViews>
    <workbookView xWindow="-120" yWindow="-120" windowWidth="38640" windowHeight="21120" tabRatio="500" firstSheet="2" activeTab="3" xr2:uid="{00000000-000D-0000-FFFF-FFFF00000000}"/>
  </bookViews>
  <sheets>
    <sheet name="Content" sheetId="1" r:id="rId1"/>
    <sheet name="Data" sheetId="2" r:id="rId2"/>
    <sheet name="Start" sheetId="3" r:id="rId3"/>
    <sheet name="Structural Parameters" sheetId="6" r:id="rId4"/>
    <sheet name="Baseline" sheetId="21" r:id="rId5"/>
    <sheet name="NZ" sheetId="9" r:id="rId6"/>
    <sheet name="NZ_constEE" sheetId="27" r:id="rId7"/>
    <sheet name="NZ_constInt" sheetId="26" r:id="rId8"/>
    <sheet name="NZ_constEEInt" sheetId="29" r:id="rId9"/>
  </sheets>
  <externalReferences>
    <externalReference r:id="rId10"/>
  </externalReference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5" i="29" l="1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L7" i="29"/>
  <c r="L6" i="29"/>
  <c r="L5" i="29"/>
  <c r="L4" i="29"/>
  <c r="L3" i="29"/>
  <c r="L2" i="29"/>
  <c r="N2" i="29"/>
  <c r="N3" i="29"/>
  <c r="N4" i="29"/>
  <c r="N5" i="29"/>
  <c r="N6" i="29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M25" i="26"/>
  <c r="M24" i="26"/>
  <c r="M23" i="26"/>
  <c r="M22" i="26"/>
  <c r="M21" i="26"/>
  <c r="M20" i="26"/>
  <c r="M19" i="26"/>
  <c r="M18" i="26"/>
  <c r="M17" i="26"/>
  <c r="M16" i="26"/>
  <c r="M15" i="26"/>
  <c r="M14" i="26"/>
  <c r="M13" i="26"/>
  <c r="M12" i="26"/>
  <c r="M11" i="26"/>
  <c r="M10" i="26"/>
  <c r="M9" i="26"/>
  <c r="M8" i="26"/>
  <c r="M7" i="26"/>
  <c r="M6" i="26"/>
  <c r="M5" i="26"/>
  <c r="M4" i="26"/>
  <c r="M3" i="26"/>
  <c r="M2" i="26"/>
  <c r="I2" i="26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L4" i="27"/>
  <c r="L3" i="27"/>
  <c r="L2" i="27"/>
  <c r="I2" i="27" s="1"/>
  <c r="L10" i="9"/>
  <c r="L17" i="9"/>
  <c r="L16" i="9"/>
  <c r="L15" i="9"/>
  <c r="L14" i="9"/>
  <c r="L13" i="9"/>
  <c r="L12" i="9"/>
  <c r="L11" i="9"/>
  <c r="L18" i="9"/>
  <c r="L19" i="9" s="1"/>
  <c r="L20" i="9" s="1"/>
  <c r="L21" i="9" s="1"/>
  <c r="L22" i="9" s="1"/>
  <c r="L23" i="9" s="1"/>
  <c r="L9" i="9"/>
  <c r="L8" i="9"/>
  <c r="L7" i="9"/>
  <c r="L6" i="9"/>
  <c r="L5" i="9"/>
  <c r="L4" i="9"/>
  <c r="L3" i="9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AB5" i="21"/>
  <c r="AB4" i="21"/>
  <c r="AB3" i="21"/>
  <c r="AB2" i="21"/>
  <c r="T8" i="21"/>
  <c r="T9" i="21" s="1"/>
  <c r="T10" i="21" s="1"/>
  <c r="T11" i="21" s="1"/>
  <c r="T12" i="21" s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7" i="21"/>
  <c r="T4" i="21"/>
  <c r="T5" i="21" s="1"/>
  <c r="T6" i="21" s="1"/>
  <c r="T3" i="21"/>
  <c r="AE4" i="21"/>
  <c r="AE5" i="21" s="1"/>
  <c r="AE6" i="21" s="1"/>
  <c r="AE7" i="21" s="1"/>
  <c r="AE8" i="21" s="1"/>
  <c r="AE9" i="21" s="1"/>
  <c r="AE10" i="21" s="1"/>
  <c r="AE11" i="21" s="1"/>
  <c r="AE12" i="21" s="1"/>
  <c r="AE13" i="21" s="1"/>
  <c r="AE14" i="21" s="1"/>
  <c r="AE15" i="21" s="1"/>
  <c r="AE16" i="21" s="1"/>
  <c r="AE17" i="21" s="1"/>
  <c r="AE18" i="21" s="1"/>
  <c r="AE19" i="21" s="1"/>
  <c r="AE20" i="21" s="1"/>
  <c r="AE21" i="21" s="1"/>
  <c r="AE22" i="21" s="1"/>
  <c r="AE23" i="21" s="1"/>
  <c r="AE24" i="21" s="1"/>
  <c r="AE25" i="21" s="1"/>
  <c r="AE3" i="21"/>
  <c r="AF4" i="21"/>
  <c r="AF5" i="21" s="1"/>
  <c r="AF6" i="21" s="1"/>
  <c r="AF7" i="21" s="1"/>
  <c r="AF8" i="21" s="1"/>
  <c r="AF9" i="21" s="1"/>
  <c r="AF10" i="21" s="1"/>
  <c r="AF11" i="21" s="1"/>
  <c r="AF12" i="21" s="1"/>
  <c r="AF13" i="21" s="1"/>
  <c r="AF14" i="21" s="1"/>
  <c r="AF15" i="21" s="1"/>
  <c r="AF16" i="21" s="1"/>
  <c r="AF17" i="21" s="1"/>
  <c r="AF18" i="21" s="1"/>
  <c r="AF19" i="21" s="1"/>
  <c r="AF20" i="21" s="1"/>
  <c r="AF21" i="21" s="1"/>
  <c r="AF22" i="21" s="1"/>
  <c r="AF23" i="21" s="1"/>
  <c r="AF24" i="21" s="1"/>
  <c r="AF25" i="21" s="1"/>
  <c r="AF3" i="21"/>
  <c r="AG4" i="21"/>
  <c r="AG5" i="21" s="1"/>
  <c r="AG6" i="21" s="1"/>
  <c r="AG7" i="21" s="1"/>
  <c r="AG8" i="21" s="1"/>
  <c r="AG9" i="21" s="1"/>
  <c r="AG10" i="21" s="1"/>
  <c r="AG11" i="21" s="1"/>
  <c r="AG12" i="21" s="1"/>
  <c r="AG13" i="21" s="1"/>
  <c r="AG14" i="21" s="1"/>
  <c r="AG15" i="21" s="1"/>
  <c r="AG16" i="21" s="1"/>
  <c r="AG17" i="21" s="1"/>
  <c r="AG18" i="21" s="1"/>
  <c r="AG19" i="21" s="1"/>
  <c r="AG20" i="21" s="1"/>
  <c r="AG21" i="21" s="1"/>
  <c r="AG22" i="21" s="1"/>
  <c r="AG23" i="21" s="1"/>
  <c r="AG24" i="21" s="1"/>
  <c r="AG25" i="21" s="1"/>
  <c r="AG3" i="21"/>
  <c r="AD5" i="21"/>
  <c r="AD6" i="21" s="1"/>
  <c r="AD7" i="21" s="1"/>
  <c r="AD8" i="21" s="1"/>
  <c r="AD9" i="21" s="1"/>
  <c r="AD10" i="21" s="1"/>
  <c r="AD11" i="21" s="1"/>
  <c r="AD12" i="21" s="1"/>
  <c r="AD13" i="21" s="1"/>
  <c r="AD14" i="21" s="1"/>
  <c r="AD15" i="21" s="1"/>
  <c r="AD16" i="21" s="1"/>
  <c r="AD17" i="21" s="1"/>
  <c r="AD18" i="21" s="1"/>
  <c r="AD19" i="21" s="1"/>
  <c r="AD20" i="21" s="1"/>
  <c r="AD21" i="21" s="1"/>
  <c r="AD22" i="21" s="1"/>
  <c r="AD23" i="21" s="1"/>
  <c r="AD24" i="21" s="1"/>
  <c r="AD25" i="21" s="1"/>
  <c r="AD4" i="21"/>
  <c r="AD3" i="21"/>
  <c r="AH2" i="21"/>
  <c r="AG2" i="21"/>
  <c r="AF2" i="21"/>
  <c r="AE2" i="21"/>
  <c r="AD2" i="21"/>
  <c r="J22" i="29"/>
  <c r="J23" i="29" s="1"/>
  <c r="J24" i="29" s="1"/>
  <c r="J25" i="29" s="1"/>
  <c r="J21" i="29"/>
  <c r="I2" i="29"/>
  <c r="J21" i="27"/>
  <c r="J22" i="27" s="1"/>
  <c r="J23" i="27" s="1"/>
  <c r="J24" i="27" s="1"/>
  <c r="J25" i="27" s="1"/>
  <c r="J21" i="26"/>
  <c r="J22" i="26" s="1"/>
  <c r="J23" i="26" s="1"/>
  <c r="J24" i="26" s="1"/>
  <c r="J25" i="26" s="1"/>
  <c r="S3" i="21"/>
  <c r="Z2" i="21"/>
  <c r="Y2" i="21"/>
  <c r="X2" i="21"/>
  <c r="W2" i="21"/>
  <c r="W3" i="21" s="1"/>
  <c r="V2" i="21"/>
  <c r="V3" i="21" s="1"/>
  <c r="V4" i="21" s="1"/>
  <c r="R2" i="21"/>
  <c r="AC2" i="21" s="1"/>
  <c r="D26" i="3"/>
  <c r="D25" i="3"/>
  <c r="D24" i="3"/>
  <c r="D23" i="3"/>
  <c r="D22" i="3"/>
  <c r="J21" i="9"/>
  <c r="J22" i="9" s="1"/>
  <c r="J23" i="9" s="1"/>
  <c r="B15" i="3"/>
  <c r="B8" i="6"/>
  <c r="B87" i="6"/>
  <c r="B86" i="6"/>
  <c r="B85" i="6"/>
  <c r="B84" i="6"/>
  <c r="B83" i="6"/>
  <c r="B81" i="6"/>
  <c r="B80" i="6"/>
  <c r="B79" i="6"/>
  <c r="B78" i="6"/>
  <c r="B77" i="6"/>
  <c r="B51" i="6"/>
  <c r="B9" i="6"/>
  <c r="B4" i="6"/>
  <c r="B3" i="6"/>
  <c r="B20" i="3"/>
  <c r="B19" i="3"/>
  <c r="B17" i="3"/>
  <c r="B11" i="3"/>
  <c r="B6" i="3"/>
  <c r="B4" i="3"/>
  <c r="O21" i="2"/>
  <c r="O20" i="2"/>
  <c r="O19" i="2"/>
  <c r="O18" i="2"/>
  <c r="O17" i="2"/>
  <c r="O16" i="2"/>
  <c r="O15" i="2"/>
  <c r="O14" i="2"/>
  <c r="O13" i="2"/>
  <c r="O12" i="2"/>
  <c r="O11" i="2"/>
  <c r="O10" i="2"/>
  <c r="O9" i="2" a="1"/>
  <c r="O9" i="2" s="1"/>
  <c r="O8" i="2" a="1"/>
  <c r="O8" i="2" s="1"/>
  <c r="O7" i="2" a="1"/>
  <c r="O7" i="2" s="1"/>
  <c r="O6" i="2" a="1"/>
  <c r="O6" i="2" s="1"/>
  <c r="J6" i="2"/>
  <c r="I6" i="2"/>
  <c r="H6" i="2"/>
  <c r="G6" i="2"/>
  <c r="F6" i="2"/>
  <c r="E6" i="2"/>
  <c r="D6" i="2"/>
  <c r="C6" i="2"/>
  <c r="O5" i="2"/>
  <c r="J5" i="2"/>
  <c r="I5" i="2"/>
  <c r="H5" i="2"/>
  <c r="G5" i="2"/>
  <c r="F5" i="2"/>
  <c r="E5" i="2"/>
  <c r="D5" i="2"/>
  <c r="C5" i="2"/>
  <c r="O4" i="2"/>
  <c r="J4" i="2"/>
  <c r="I4" i="2"/>
  <c r="H4" i="2"/>
  <c r="G4" i="2"/>
  <c r="F4" i="2"/>
  <c r="E4" i="2"/>
  <c r="D4" i="2"/>
  <c r="C4" i="2"/>
  <c r="O3" i="2"/>
  <c r="J3" i="2"/>
  <c r="I3" i="2"/>
  <c r="H3" i="2"/>
  <c r="G3" i="2"/>
  <c r="F3" i="2"/>
  <c r="E3" i="2"/>
  <c r="D3" i="2"/>
  <c r="C3" i="2"/>
  <c r="O2" i="2"/>
  <c r="J2" i="2"/>
  <c r="I2" i="2"/>
  <c r="H2" i="2"/>
  <c r="G2" i="2"/>
  <c r="F2" i="2"/>
  <c r="E2" i="2"/>
  <c r="D2" i="2"/>
  <c r="C2" i="2"/>
  <c r="A6" i="1"/>
  <c r="A5" i="1"/>
  <c r="A4" i="1"/>
  <c r="A3" i="1"/>
  <c r="A2" i="1"/>
  <c r="AH3" i="21" l="1"/>
  <c r="AH4" i="21"/>
  <c r="I3" i="27"/>
  <c r="I3" i="29"/>
  <c r="I3" i="26"/>
  <c r="S4" i="21"/>
  <c r="I2" i="9"/>
  <c r="I3" i="9"/>
  <c r="R3" i="21"/>
  <c r="AC3" i="21" s="1"/>
  <c r="AA2" i="21"/>
  <c r="AA3" i="21" s="1"/>
  <c r="AA4" i="21" s="1"/>
  <c r="W4" i="21"/>
  <c r="I4" i="21"/>
  <c r="V5" i="21"/>
  <c r="I3" i="21"/>
  <c r="U2" i="21"/>
  <c r="J24" i="9"/>
  <c r="H2" i="21" l="1"/>
  <c r="N2" i="21"/>
  <c r="O2" i="21" s="1"/>
  <c r="P2" i="21"/>
  <c r="J2" i="21"/>
  <c r="L2" i="21"/>
  <c r="AH5" i="21"/>
  <c r="S5" i="21"/>
  <c r="I4" i="29"/>
  <c r="I4" i="26"/>
  <c r="I4" i="9"/>
  <c r="I4" i="27"/>
  <c r="R4" i="21"/>
  <c r="AC4" i="21" s="1"/>
  <c r="R5" i="21"/>
  <c r="AC5" i="21" s="1"/>
  <c r="I5" i="21"/>
  <c r="V6" i="21"/>
  <c r="U3" i="21"/>
  <c r="AA5" i="21"/>
  <c r="W5" i="21"/>
  <c r="J25" i="9"/>
  <c r="H3" i="21" l="1"/>
  <c r="J3" i="21"/>
  <c r="L3" i="21"/>
  <c r="X3" i="21" s="1"/>
  <c r="M3" i="21" s="1"/>
  <c r="N3" i="21"/>
  <c r="Y3" i="21" s="1"/>
  <c r="P3" i="21"/>
  <c r="AH6" i="21"/>
  <c r="S6" i="21"/>
  <c r="I5" i="9"/>
  <c r="I5" i="29"/>
  <c r="I5" i="26"/>
  <c r="I5" i="27"/>
  <c r="AA6" i="21"/>
  <c r="U4" i="21"/>
  <c r="P4" i="21" s="1"/>
  <c r="W6" i="21"/>
  <c r="I6" i="21"/>
  <c r="V7" i="21"/>
  <c r="Z3" i="21" l="1"/>
  <c r="Q3" i="21" s="1"/>
  <c r="O3" i="21"/>
  <c r="H4" i="21"/>
  <c r="N4" i="21"/>
  <c r="Y4" i="21" s="1"/>
  <c r="J4" i="21"/>
  <c r="L4" i="21"/>
  <c r="X4" i="21" s="1"/>
  <c r="M4" i="21" s="1"/>
  <c r="AH7" i="21"/>
  <c r="S7" i="21"/>
  <c r="I6" i="29"/>
  <c r="I6" i="9"/>
  <c r="I6" i="26"/>
  <c r="I6" i="27"/>
  <c r="R6" i="21"/>
  <c r="AC6" i="21" s="1"/>
  <c r="AA7" i="21"/>
  <c r="W7" i="21"/>
  <c r="V8" i="21"/>
  <c r="I7" i="21"/>
  <c r="U5" i="21"/>
  <c r="Z4" i="21" l="1"/>
  <c r="Q4" i="21" s="1"/>
  <c r="O4" i="21"/>
  <c r="H5" i="21"/>
  <c r="N5" i="21"/>
  <c r="Y5" i="21" s="1"/>
  <c r="J5" i="21"/>
  <c r="L5" i="21"/>
  <c r="X5" i="21" s="1"/>
  <c r="M5" i="21" s="1"/>
  <c r="P5" i="21"/>
  <c r="AH8" i="21"/>
  <c r="S8" i="21"/>
  <c r="I7" i="29"/>
  <c r="I7" i="26"/>
  <c r="I7" i="27"/>
  <c r="I7" i="9"/>
  <c r="R7" i="21"/>
  <c r="AC7" i="21" s="1"/>
  <c r="W8" i="21"/>
  <c r="U6" i="21"/>
  <c r="P6" i="21" s="1"/>
  <c r="AA8" i="21"/>
  <c r="I8" i="21"/>
  <c r="V9" i="21"/>
  <c r="Z5" i="21" l="1"/>
  <c r="Q5" i="21" s="1"/>
  <c r="O5" i="21"/>
  <c r="H6" i="21"/>
  <c r="N6" i="21"/>
  <c r="Y6" i="21" s="1"/>
  <c r="J6" i="21"/>
  <c r="L6" i="21"/>
  <c r="X6" i="21" s="1"/>
  <c r="M6" i="21" s="1"/>
  <c r="AH9" i="21"/>
  <c r="S9" i="21"/>
  <c r="I8" i="26"/>
  <c r="I8" i="29"/>
  <c r="I8" i="9"/>
  <c r="I8" i="27"/>
  <c r="R8" i="21"/>
  <c r="AC8" i="21" s="1"/>
  <c r="I9" i="21"/>
  <c r="V10" i="21"/>
  <c r="U7" i="21"/>
  <c r="W9" i="21"/>
  <c r="AA9" i="21"/>
  <c r="Z6" i="21" l="1"/>
  <c r="Q6" i="21" s="1"/>
  <c r="O6" i="21"/>
  <c r="H7" i="21"/>
  <c r="N7" i="21"/>
  <c r="Y7" i="21" s="1"/>
  <c r="J7" i="21"/>
  <c r="L7" i="21"/>
  <c r="X7" i="21" s="1"/>
  <c r="M7" i="21" s="1"/>
  <c r="P7" i="21"/>
  <c r="AH10" i="21"/>
  <c r="S10" i="21"/>
  <c r="I9" i="9"/>
  <c r="I9" i="29"/>
  <c r="I9" i="26"/>
  <c r="I9" i="27"/>
  <c r="R9" i="21"/>
  <c r="AC9" i="21" s="1"/>
  <c r="I10" i="21"/>
  <c r="V11" i="21"/>
  <c r="U8" i="21"/>
  <c r="W10" i="21"/>
  <c r="AA10" i="21"/>
  <c r="O7" i="21" l="1"/>
  <c r="Z7" i="21"/>
  <c r="Q7" i="21" s="1"/>
  <c r="H8" i="21"/>
  <c r="N8" i="21"/>
  <c r="Y8" i="21" s="1"/>
  <c r="O8" i="21" s="1"/>
  <c r="L8" i="21"/>
  <c r="X8" i="21" s="1"/>
  <c r="M8" i="21" s="1"/>
  <c r="J8" i="21"/>
  <c r="P8" i="21"/>
  <c r="AH11" i="21"/>
  <c r="S11" i="21"/>
  <c r="U10" i="21"/>
  <c r="J10" i="21" s="1"/>
  <c r="R10" i="21"/>
  <c r="AC10" i="21" s="1"/>
  <c r="I11" i="21"/>
  <c r="V12" i="21"/>
  <c r="AA11" i="21"/>
  <c r="W11" i="21"/>
  <c r="U9" i="21"/>
  <c r="L10" i="21" l="1"/>
  <c r="P10" i="21"/>
  <c r="H9" i="21"/>
  <c r="N9" i="21"/>
  <c r="Y9" i="21" s="1"/>
  <c r="J9" i="21"/>
  <c r="L9" i="21"/>
  <c r="X9" i="21" s="1"/>
  <c r="M9" i="21" s="1"/>
  <c r="H10" i="21"/>
  <c r="N10" i="21"/>
  <c r="P9" i="21"/>
  <c r="Z8" i="21"/>
  <c r="Q8" i="21" s="1"/>
  <c r="AH12" i="21"/>
  <c r="I10" i="26"/>
  <c r="I10" i="29"/>
  <c r="I10" i="27"/>
  <c r="I10" i="9"/>
  <c r="S12" i="21"/>
  <c r="R11" i="21"/>
  <c r="AC11" i="21" s="1"/>
  <c r="U11" i="21"/>
  <c r="AA12" i="21"/>
  <c r="V13" i="21"/>
  <c r="I12" i="21"/>
  <c r="W12" i="21"/>
  <c r="X10" i="21" l="1"/>
  <c r="M10" i="21" s="1"/>
  <c r="Z9" i="21"/>
  <c r="Q9" i="21" s="1"/>
  <c r="O9" i="21"/>
  <c r="Y10" i="21"/>
  <c r="Z10" i="21" s="1"/>
  <c r="H11" i="21"/>
  <c r="N11" i="21"/>
  <c r="Y11" i="21" s="1"/>
  <c r="J11" i="21"/>
  <c r="L11" i="21"/>
  <c r="X11" i="21" s="1"/>
  <c r="M11" i="21" s="1"/>
  <c r="P11" i="21"/>
  <c r="AH13" i="21"/>
  <c r="I11" i="9"/>
  <c r="S13" i="21"/>
  <c r="U12" i="21"/>
  <c r="J12" i="21" s="1"/>
  <c r="R12" i="21"/>
  <c r="AC12" i="21" s="1"/>
  <c r="I11" i="27"/>
  <c r="I11" i="26"/>
  <c r="I11" i="29"/>
  <c r="AA13" i="21"/>
  <c r="W13" i="21"/>
  <c r="V14" i="21"/>
  <c r="I13" i="21"/>
  <c r="I12" i="9"/>
  <c r="Q10" i="21" l="1"/>
  <c r="O10" i="21"/>
  <c r="L12" i="21"/>
  <c r="X12" i="21" s="1"/>
  <c r="M12" i="21" s="1"/>
  <c r="P12" i="21"/>
  <c r="H12" i="21"/>
  <c r="N12" i="21"/>
  <c r="Y12" i="21" s="1"/>
  <c r="AH14" i="21"/>
  <c r="P13" i="21" s="1"/>
  <c r="L13" i="21"/>
  <c r="X13" i="21" s="1"/>
  <c r="M13" i="21" s="1"/>
  <c r="I12" i="26"/>
  <c r="I12" i="29"/>
  <c r="S14" i="21"/>
  <c r="R13" i="21"/>
  <c r="AC13" i="21" s="1"/>
  <c r="I12" i="27"/>
  <c r="U13" i="21"/>
  <c r="J13" i="21" s="1"/>
  <c r="I14" i="21"/>
  <c r="V15" i="21"/>
  <c r="O11" i="21"/>
  <c r="Z11" i="21"/>
  <c r="Q11" i="21" s="1"/>
  <c r="W14" i="21"/>
  <c r="AA14" i="21"/>
  <c r="I13" i="9"/>
  <c r="O12" i="21" l="1"/>
  <c r="Z12" i="21"/>
  <c r="Q12" i="21" s="1"/>
  <c r="H13" i="21"/>
  <c r="N13" i="21"/>
  <c r="Y13" i="21" s="1"/>
  <c r="AH15" i="21"/>
  <c r="I13" i="29"/>
  <c r="S15" i="21"/>
  <c r="U14" i="21"/>
  <c r="J14" i="21" s="1"/>
  <c r="R14" i="21"/>
  <c r="AC14" i="21" s="1"/>
  <c r="I13" i="27"/>
  <c r="I13" i="26"/>
  <c r="V16" i="21"/>
  <c r="I15" i="21"/>
  <c r="AA15" i="21"/>
  <c r="W15" i="21"/>
  <c r="I14" i="9" l="1"/>
  <c r="O13" i="21"/>
  <c r="Z13" i="21"/>
  <c r="Q13" i="21" s="1"/>
  <c r="L14" i="21"/>
  <c r="X14" i="21" s="1"/>
  <c r="M14" i="21" s="1"/>
  <c r="P14" i="21"/>
  <c r="H14" i="21"/>
  <c r="N14" i="21"/>
  <c r="Y14" i="21" s="1"/>
  <c r="J15" i="21"/>
  <c r="AH16" i="21"/>
  <c r="P15" i="21" s="1"/>
  <c r="L15" i="21"/>
  <c r="X15" i="21" s="1"/>
  <c r="M15" i="21" s="1"/>
  <c r="I14" i="26"/>
  <c r="S16" i="21"/>
  <c r="U15" i="21"/>
  <c r="R15" i="21"/>
  <c r="AC15" i="21" s="1"/>
  <c r="I14" i="27"/>
  <c r="I14" i="29"/>
  <c r="W16" i="21"/>
  <c r="AA16" i="21"/>
  <c r="V17" i="21"/>
  <c r="I16" i="21"/>
  <c r="I15" i="9"/>
  <c r="O14" i="21" l="1"/>
  <c r="Z14" i="21"/>
  <c r="Q14" i="21" s="1"/>
  <c r="H15" i="21"/>
  <c r="N15" i="21"/>
  <c r="Y15" i="21" s="1"/>
  <c r="O15" i="21" s="1"/>
  <c r="AH17" i="21"/>
  <c r="I15" i="29"/>
  <c r="S17" i="21"/>
  <c r="U16" i="21"/>
  <c r="R16" i="21"/>
  <c r="AC16" i="21" s="1"/>
  <c r="I15" i="27"/>
  <c r="I15" i="26"/>
  <c r="Z15" i="21"/>
  <c r="W17" i="21"/>
  <c r="V18" i="21"/>
  <c r="I17" i="21"/>
  <c r="AA17" i="21"/>
  <c r="I16" i="9"/>
  <c r="Q15" i="21" l="1"/>
  <c r="H16" i="21"/>
  <c r="N16" i="21"/>
  <c r="Y16" i="21" s="1"/>
  <c r="P16" i="21"/>
  <c r="L16" i="21"/>
  <c r="X16" i="21" s="1"/>
  <c r="M16" i="21" s="1"/>
  <c r="J16" i="21"/>
  <c r="AH18" i="21"/>
  <c r="P17" i="21" s="1"/>
  <c r="L17" i="21"/>
  <c r="X17" i="21" s="1"/>
  <c r="M17" i="21" s="1"/>
  <c r="I16" i="27"/>
  <c r="I16" i="29"/>
  <c r="I16" i="26"/>
  <c r="S18" i="21"/>
  <c r="U17" i="21"/>
  <c r="J17" i="21" s="1"/>
  <c r="R17" i="21"/>
  <c r="AC17" i="21" s="1"/>
  <c r="V19" i="21"/>
  <c r="I18" i="21"/>
  <c r="W18" i="21"/>
  <c r="AA18" i="21"/>
  <c r="I17" i="9"/>
  <c r="O16" i="21" l="1"/>
  <c r="Z16" i="21"/>
  <c r="Q16" i="21" s="1"/>
  <c r="H17" i="21"/>
  <c r="N17" i="21"/>
  <c r="Y17" i="21" s="1"/>
  <c r="AH19" i="21"/>
  <c r="I17" i="27"/>
  <c r="S19" i="21"/>
  <c r="U18" i="21"/>
  <c r="L18" i="21" s="1"/>
  <c r="X18" i="21" s="1"/>
  <c r="M18" i="21" s="1"/>
  <c r="R18" i="21"/>
  <c r="AC18" i="21" s="1"/>
  <c r="I17" i="26"/>
  <c r="I17" i="29"/>
  <c r="I19" i="21"/>
  <c r="V20" i="21"/>
  <c r="AA19" i="21"/>
  <c r="W19" i="21"/>
  <c r="I18" i="9" l="1"/>
  <c r="O17" i="21"/>
  <c r="Z17" i="21"/>
  <c r="Q17" i="21" s="1"/>
  <c r="H18" i="21"/>
  <c r="N18" i="21"/>
  <c r="Y18" i="21" s="1"/>
  <c r="P18" i="21"/>
  <c r="J18" i="21"/>
  <c r="L19" i="21"/>
  <c r="X19" i="21" s="1"/>
  <c r="M19" i="21" s="1"/>
  <c r="AH20" i="21"/>
  <c r="P19" i="21" s="1"/>
  <c r="I18" i="29"/>
  <c r="I18" i="26"/>
  <c r="S20" i="21"/>
  <c r="U19" i="21"/>
  <c r="J19" i="21" s="1"/>
  <c r="R19" i="21"/>
  <c r="AC19" i="21" s="1"/>
  <c r="I18" i="27"/>
  <c r="W20" i="21"/>
  <c r="AA20" i="21"/>
  <c r="I20" i="21"/>
  <c r="V21" i="21"/>
  <c r="I19" i="9"/>
  <c r="O18" i="21" l="1"/>
  <c r="Z18" i="21"/>
  <c r="Q18" i="21" s="1"/>
  <c r="H19" i="21"/>
  <c r="N19" i="21"/>
  <c r="Y19" i="21" s="1"/>
  <c r="AH21" i="21"/>
  <c r="I19" i="27"/>
  <c r="I19" i="26"/>
  <c r="S21" i="21"/>
  <c r="U20" i="21"/>
  <c r="J20" i="21" s="1"/>
  <c r="R20" i="21"/>
  <c r="AC20" i="21" s="1"/>
  <c r="I19" i="29"/>
  <c r="W21" i="21"/>
  <c r="V22" i="21"/>
  <c r="I21" i="21"/>
  <c r="AA21" i="21"/>
  <c r="I20" i="9"/>
  <c r="L20" i="21" l="1"/>
  <c r="X20" i="21" s="1"/>
  <c r="M20" i="21" s="1"/>
  <c r="P20" i="21"/>
  <c r="O19" i="21"/>
  <c r="Z19" i="21"/>
  <c r="Q19" i="21" s="1"/>
  <c r="H20" i="21"/>
  <c r="N20" i="21"/>
  <c r="Y20" i="21" s="1"/>
  <c r="J21" i="21"/>
  <c r="L21" i="21"/>
  <c r="AH22" i="21"/>
  <c r="P21" i="21" s="1"/>
  <c r="I20" i="27"/>
  <c r="I20" i="29"/>
  <c r="I20" i="26"/>
  <c r="S22" i="21"/>
  <c r="U21" i="21"/>
  <c r="R21" i="21"/>
  <c r="AC21" i="21" s="1"/>
  <c r="AA22" i="21"/>
  <c r="I22" i="21"/>
  <c r="V23" i="21"/>
  <c r="W22" i="21"/>
  <c r="X21" i="21" l="1"/>
  <c r="M21" i="21" s="1"/>
  <c r="O20" i="21"/>
  <c r="Z20" i="21"/>
  <c r="Q20" i="21" s="1"/>
  <c r="H21" i="21"/>
  <c r="N21" i="21"/>
  <c r="Y21" i="21" s="1"/>
  <c r="AH23" i="21"/>
  <c r="I21" i="9"/>
  <c r="I21" i="29"/>
  <c r="S23" i="21"/>
  <c r="U22" i="21"/>
  <c r="J22" i="21" s="1"/>
  <c r="R22" i="21"/>
  <c r="AC22" i="21" s="1"/>
  <c r="I21" i="26"/>
  <c r="I21" i="27"/>
  <c r="V24" i="21"/>
  <c r="I23" i="21"/>
  <c r="W23" i="21"/>
  <c r="AA23" i="21"/>
  <c r="I22" i="9"/>
  <c r="L22" i="21" l="1"/>
  <c r="X22" i="21" s="1"/>
  <c r="M22" i="21" s="1"/>
  <c r="P22" i="21"/>
  <c r="O21" i="21"/>
  <c r="Z21" i="21"/>
  <c r="Q21" i="21" s="1"/>
  <c r="H22" i="21"/>
  <c r="N22" i="21"/>
  <c r="Y22" i="21" s="1"/>
  <c r="J23" i="21"/>
  <c r="L23" i="21"/>
  <c r="X23" i="21" s="1"/>
  <c r="M23" i="21" s="1"/>
  <c r="AH24" i="21"/>
  <c r="P23" i="21" s="1"/>
  <c r="I22" i="27"/>
  <c r="I22" i="26"/>
  <c r="S24" i="21"/>
  <c r="U23" i="21"/>
  <c r="R23" i="21"/>
  <c r="AC23" i="21" s="1"/>
  <c r="L24" i="9"/>
  <c r="I22" i="29"/>
  <c r="I24" i="21"/>
  <c r="I25" i="21" s="1"/>
  <c r="V25" i="21"/>
  <c r="AA24" i="21"/>
  <c r="W24" i="21"/>
  <c r="I23" i="9" l="1"/>
  <c r="O22" i="21"/>
  <c r="Z22" i="21"/>
  <c r="Q22" i="21" s="1"/>
  <c r="H23" i="21"/>
  <c r="N23" i="21"/>
  <c r="Y23" i="21" s="1"/>
  <c r="AH25" i="21"/>
  <c r="I23" i="29"/>
  <c r="S25" i="21"/>
  <c r="U24" i="21"/>
  <c r="R24" i="21"/>
  <c r="AC24" i="21" s="1"/>
  <c r="I23" i="26"/>
  <c r="I23" i="27"/>
  <c r="AA25" i="21"/>
  <c r="W25" i="21"/>
  <c r="I24" i="9"/>
  <c r="O23" i="21" l="1"/>
  <c r="Z23" i="21"/>
  <c r="Q23" i="21" s="1"/>
  <c r="H24" i="21"/>
  <c r="H25" i="21" s="1"/>
  <c r="N24" i="21"/>
  <c r="N25" i="21" s="1"/>
  <c r="J24" i="21"/>
  <c r="J25" i="21" s="1"/>
  <c r="L24" i="21"/>
  <c r="L25" i="21" s="1"/>
  <c r="P24" i="21"/>
  <c r="P25" i="21" s="1"/>
  <c r="X24" i="21"/>
  <c r="M24" i="21" s="1"/>
  <c r="M25" i="21" s="1"/>
  <c r="I24" i="26"/>
  <c r="I25" i="26"/>
  <c r="I25" i="29"/>
  <c r="I24" i="29"/>
  <c r="I25" i="27"/>
  <c r="I24" i="27"/>
  <c r="U25" i="21"/>
  <c r="R25" i="21"/>
  <c r="AC25" i="21" s="1"/>
  <c r="L25" i="9"/>
  <c r="I25" i="9" s="1"/>
  <c r="Y24" i="21" l="1"/>
  <c r="O24" i="21" s="1"/>
  <c r="O25" i="21" s="1"/>
  <c r="X25" i="21"/>
  <c r="Y25" i="21" l="1"/>
  <c r="Z25" i="21" s="1"/>
  <c r="Z24" i="21"/>
  <c r="Q24" i="21" s="1"/>
  <c r="Q25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tc={7FE002B8-C48F-4D66-A0BA-5D834250CFEF}</author>
  </authors>
  <commentList>
    <comment ref="B7" authorId="0" shapeId="0" xr:uid="{7FE002B8-C48F-4D66-A0BA-5D834250CFE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Convergence very sensitive to value (below 10 NZ scenario does not work</t>
      </text>
    </comment>
  </commentList>
</comments>
</file>

<file path=xl/sharedStrings.xml><?xml version="1.0" encoding="utf-8"?>
<sst xmlns="http://schemas.openxmlformats.org/spreadsheetml/2006/main" count="579" uniqueCount="424">
  <si>
    <t>Sheets</t>
  </si>
  <si>
    <t>a sheet to store data used for calibration</t>
  </si>
  <si>
    <t>a sheet to assign values for the initial conditions</t>
  </si>
  <si>
    <t>a sheet to assign values for structural parameters</t>
  </si>
  <si>
    <t>a sheet for the baseline scenario</t>
  </si>
  <si>
    <t>a sheet for a specific scenario you want to run</t>
  </si>
  <si>
    <t>Regions</t>
  </si>
  <si>
    <t>VNM</t>
  </si>
  <si>
    <t>Sectors</t>
  </si>
  <si>
    <t>Primary</t>
  </si>
  <si>
    <t>Fossil</t>
  </si>
  <si>
    <t>Renewables</t>
  </si>
  <si>
    <t>Secondary</t>
  </si>
  <si>
    <t>Tertiary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</si>
  <si>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</si>
  <si>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</si>
  <si>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</si>
  <si>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</si>
  <si>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</si>
  <si>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</si>
  <si>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</si>
  <si>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</si>
  <si>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</si>
  <si>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</si>
  <si>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Subsector</t>
  </si>
  <si>
    <t>Sector of Origin</t>
  </si>
  <si>
    <t>intermediate input share (phiQI)</t>
  </si>
  <si>
    <t>share of emissions (sEI)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</si>
  <si>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</si>
  <si>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</si>
  <si>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</si>
  <si>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</si>
  <si>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</si>
  <si>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</si>
  <si>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</si>
  <si>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</si>
  <si>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</si>
  <si>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</si>
  <si>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</si>
  <si>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</si>
  <si>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enter value here</t>
  </si>
  <si>
    <t>initial Sea level</t>
  </si>
  <si>
    <t>initial employment</t>
  </si>
  <si>
    <t>Energy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</si>
  <si>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</si>
  <si>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</si>
  <si>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</si>
  <si>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</si>
  <si>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</si>
  <si>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</si>
  <si>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</si>
  <si>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Description</t>
  </si>
  <si>
    <t>Y0_p</t>
  </si>
  <si>
    <t>initial GDP</t>
  </si>
  <si>
    <t>Parameter values for initial sum of hours worked to potential hours worked</t>
  </si>
  <si>
    <t>N0_1_p</t>
  </si>
  <si>
    <t>initial sum of hours worked to potential hours worked in  region 1</t>
  </si>
  <si>
    <t>Parameter values for initial emission price</t>
  </si>
  <si>
    <t>P0_1_p</t>
  </si>
  <si>
    <t>initial emission price in  region 1</t>
  </si>
  <si>
    <t>Parameter values for initial emissionss</t>
  </si>
  <si>
    <t>E0_1_p</t>
  </si>
  <si>
    <t>initial emissionss in  region 1</t>
  </si>
  <si>
    <t>PE0_1_p</t>
  </si>
  <si>
    <t>initial price for emissions</t>
  </si>
  <si>
    <t>Parameter values for investmetns in residential building relative to GDP</t>
  </si>
  <si>
    <t>sH_1_p</t>
  </si>
  <si>
    <t>investmetns in residential building relative to GDP in  region 1</t>
  </si>
  <si>
    <t>Parameter values for initial population</t>
  </si>
  <si>
    <t>PoP0_1_p</t>
  </si>
  <si>
    <t>initial population in  region 1</t>
  </si>
  <si>
    <t>Parameter values for initial labour force</t>
  </si>
  <si>
    <t>LF0_1_p</t>
  </si>
  <si>
    <t>initial labour force in  region 1</t>
  </si>
  <si>
    <t xml:space="preserve">Parameter values for initial housing </t>
  </si>
  <si>
    <t>H0_1_p</t>
  </si>
  <si>
    <t>initial housing  in  region 1</t>
  </si>
  <si>
    <t>Parameter values for initial value for tas</t>
  </si>
  <si>
    <t>tas0_1_p</t>
  </si>
  <si>
    <t>initial value for tas in  region 1</t>
  </si>
  <si>
    <t>SL0_p</t>
  </si>
  <si>
    <t>initial value for SL</t>
  </si>
  <si>
    <t>Parameter values for initial share of value added</t>
  </si>
  <si>
    <t>phiY0_1_1_p</t>
  </si>
  <si>
    <t>initial share of value added in sector 1 and region 1</t>
  </si>
  <si>
    <t>phiY0_2_1_p</t>
  </si>
  <si>
    <t>initial share of value added in sector 2 and region 1</t>
  </si>
  <si>
    <t>phiY0_3_1_p</t>
  </si>
  <si>
    <t>initial share of value added in sector 3 and region 1</t>
  </si>
  <si>
    <t>phiY0_4_1_p</t>
  </si>
  <si>
    <t>initial share of value added in sector 4 and region 1</t>
  </si>
  <si>
    <t>phiY0_5_1_p</t>
  </si>
  <si>
    <t>initial share of value added in sector 5 and region 1</t>
  </si>
  <si>
    <t>Parameter values for initial share of employment</t>
  </si>
  <si>
    <t>phiN0_1_1_p</t>
  </si>
  <si>
    <t>initial share of employment in sector 1 and region 1</t>
  </si>
  <si>
    <t>phiN0_2_1_p</t>
  </si>
  <si>
    <t>initial share of employment in sector 2 and region 1</t>
  </si>
  <si>
    <t>phiN0_3_1_p</t>
  </si>
  <si>
    <t>initial share of employment in sector 3 and region 1</t>
  </si>
  <si>
    <t>phiN0_4_1_p</t>
  </si>
  <si>
    <t>initial share of employment in sector 4 and region 1</t>
  </si>
  <si>
    <t>phiN0_5_1_p</t>
  </si>
  <si>
    <t>initial share of employment in sector 5 and region 1</t>
  </si>
  <si>
    <t>beta_p</t>
  </si>
  <si>
    <t>discount factor</t>
  </si>
  <si>
    <t>delta_p</t>
  </si>
  <si>
    <t>depreciation rate</t>
  </si>
  <si>
    <t>deltaB_p</t>
  </si>
  <si>
    <t>phiB_p</t>
  </si>
  <si>
    <t>foreign bond adjustment cost</t>
  </si>
  <si>
    <t>phiadjB_p</t>
  </si>
  <si>
    <t>phiK_p</t>
  </si>
  <si>
    <t>investment adjustment cost</t>
  </si>
  <si>
    <t>sigmaL_p</t>
  </si>
  <si>
    <t>inverse Frisch elasticity</t>
  </si>
  <si>
    <t>sigmaC_p</t>
  </si>
  <si>
    <t>intertemporal elasticity of substitution for consumption</t>
  </si>
  <si>
    <t>etaQ_p</t>
  </si>
  <si>
    <t>elasticity of substitution between sectors</t>
  </si>
  <si>
    <t>etaF_p</t>
  </si>
  <si>
    <t>elasticity of substitution between imports and domestic products</t>
  </si>
  <si>
    <t>etaX_p</t>
  </si>
  <si>
    <t>supply price elasticity of exports</t>
  </si>
  <si>
    <t>tauC_p</t>
  </si>
  <si>
    <t>consumption tax rate</t>
  </si>
  <si>
    <t>tauNH_p</t>
  </si>
  <si>
    <t>tax rate on labour income</t>
  </si>
  <si>
    <t>tauKH_p</t>
  </si>
  <si>
    <t>tax rate on capital income</t>
  </si>
  <si>
    <t>Parameter values for elasticity of substitution between subsectors in one sector</t>
  </si>
  <si>
    <t>etaQA_1_p</t>
  </si>
  <si>
    <t>elasticity of substitution between subsectors in one sector in sector 1</t>
  </si>
  <si>
    <t>etaQA_2_p</t>
  </si>
  <si>
    <t>elasticity of substitution between subsectors in one sector in sector 2</t>
  </si>
  <si>
    <t>etaQA_3_p</t>
  </si>
  <si>
    <t>elasticity of substitution between subsectors in one sector in sector 3</t>
  </si>
  <si>
    <t>etaQA_4_p</t>
  </si>
  <si>
    <t>elasticity of substitution between subsectors in one sector in sector 4</t>
  </si>
  <si>
    <t>etaQA_5_p</t>
  </si>
  <si>
    <t>elasticity of substitution between subsectors in one sector in sector 5</t>
  </si>
  <si>
    <t>Parameter values for elasticity of substitution between regions in one subsector</t>
  </si>
  <si>
    <t>etaQ_1_p</t>
  </si>
  <si>
    <t>elasticity of substitution between regions in one subsector in sector 1</t>
  </si>
  <si>
    <t>etaQ_2_p</t>
  </si>
  <si>
    <t>elasticity of substitution between regions in one subsector in sector 2</t>
  </si>
  <si>
    <t>etaQ_3_p</t>
  </si>
  <si>
    <t>elasticity of substitution between regions in one subsector in sector 3</t>
  </si>
  <si>
    <t>etaQ_4_p</t>
  </si>
  <si>
    <t>elasticity of substitution between regions in one subsector in sector 4</t>
  </si>
  <si>
    <t>etaQ_5_p</t>
  </si>
  <si>
    <t>elasticity of substitution between regions in one subsector in sector 5</t>
  </si>
  <si>
    <t>Parameter values for cost share of intermediate goods</t>
  </si>
  <si>
    <t>phiQI_1_1_p</t>
  </si>
  <si>
    <t>cost share of intermediate goods in sector 1 and region 1</t>
  </si>
  <si>
    <t>phiQI_2_1_p</t>
  </si>
  <si>
    <t>cost share of intermediate goods in sector 2 and region 1</t>
  </si>
  <si>
    <t>phiQI_3_1_p</t>
  </si>
  <si>
    <t>cost share of intermediate goods in sector 3 and region 1</t>
  </si>
  <si>
    <t>phiQI_4_1_p</t>
  </si>
  <si>
    <t>cost share of intermediate goods in sector 4 and region 1</t>
  </si>
  <si>
    <t>phiQI_5_1_p</t>
  </si>
  <si>
    <t>cost share of intermediate goods in sector 5 and region 1</t>
  </si>
  <si>
    <t>Parameter values for final use import shares</t>
  </si>
  <si>
    <t>phiM_F_1_1_p</t>
  </si>
  <si>
    <t>final use import shares in sector 1 and region 1</t>
  </si>
  <si>
    <t>phiM_F_2_1_p</t>
  </si>
  <si>
    <t>final use import shares in sector 2 and region 1</t>
  </si>
  <si>
    <t>phiM_F_3_1_p</t>
  </si>
  <si>
    <t>final use import shares in sector 3 and region 1</t>
  </si>
  <si>
    <t>phiM_F_4_1_p</t>
  </si>
  <si>
    <t>final use import shares in sector 4 and region 1</t>
  </si>
  <si>
    <t>phiM_F_5_1_p</t>
  </si>
  <si>
    <t>final use import shares in sector 5 and region 1</t>
  </si>
  <si>
    <t>Parameter values for intermediate import shares</t>
  </si>
  <si>
    <t>phiM_I_1_1_p</t>
  </si>
  <si>
    <t>intermediate import shares in sector 1 and region 1</t>
  </si>
  <si>
    <t>phiM_I_2_1_p</t>
  </si>
  <si>
    <t>intermediate import shares in sector 2 and region 1</t>
  </si>
  <si>
    <t>phiM_I_3_1_p</t>
  </si>
  <si>
    <t>intermediate import shares in sector 3 and region 1</t>
  </si>
  <si>
    <t>phiM_I_4_1_p</t>
  </si>
  <si>
    <t>intermediate import shares in sector 4 and region 1</t>
  </si>
  <si>
    <t>phiM_I_5_1_p</t>
  </si>
  <si>
    <t>intermediate import shares in sector 5 and region 1</t>
  </si>
  <si>
    <t xml:space="preserve">Parameter values for share of exports on revenues </t>
  </si>
  <si>
    <t>phiX_1_1_p</t>
  </si>
  <si>
    <t>share of exports on revenues  in sector 1 and region 1</t>
  </si>
  <si>
    <t>phiX_2_1_p</t>
  </si>
  <si>
    <t>share of exports on revenues  in sector 2 and region 1</t>
  </si>
  <si>
    <t>phiX_3_1_p</t>
  </si>
  <si>
    <t>share of exports on revenues  in sector 3 and region 1</t>
  </si>
  <si>
    <t>phiX_4_1_p</t>
  </si>
  <si>
    <t>share of exports on revenues  in sector 4 and region 1</t>
  </si>
  <si>
    <t>phiX_5_1_p</t>
  </si>
  <si>
    <t>share of exports on revenues  in sector 5 and region 1</t>
  </si>
  <si>
    <t>Parameter values for elasticity of subsitution between primary production factors and intermediate products</t>
  </si>
  <si>
    <t>etaI_1_p</t>
  </si>
  <si>
    <t>elasticity of subsitution between primary production factors and intermediate products in sector 1</t>
  </si>
  <si>
    <t>etaI_2_p</t>
  </si>
  <si>
    <t>elasticity of subsitution between primary production factors and intermediate products in sector 2</t>
  </si>
  <si>
    <t>etaI_3_p</t>
  </si>
  <si>
    <t>elasticity of subsitution between primary production factors and intermediate products in sector 3</t>
  </si>
  <si>
    <t>etaI_4_p</t>
  </si>
  <si>
    <t>elasticity of subsitution between primary production factors and intermediate products in sector 4</t>
  </si>
  <si>
    <t>etaI_5_p</t>
  </si>
  <si>
    <t>elasticity of subsitution between primary production factors and intermediate products in sector 5</t>
  </si>
  <si>
    <t>Parameter values for elasticity of subsitution between intermeidates</t>
  </si>
  <si>
    <t>etaIA_1_p</t>
  </si>
  <si>
    <t>elasticity of subsitution between intermeidates in sector 1</t>
  </si>
  <si>
    <t>etaIA_2_p</t>
  </si>
  <si>
    <t>elasticity of subsitution between intermeidates in sector 2</t>
  </si>
  <si>
    <t>etaIA_3_p</t>
  </si>
  <si>
    <t>elasticity of subsitution between intermeidates in sector 3</t>
  </si>
  <si>
    <t>etaIA_4_p</t>
  </si>
  <si>
    <t>elasticity of subsitution between intermeidates in sector 4</t>
  </si>
  <si>
    <t>etaIA_5_p</t>
  </si>
  <si>
    <t>elasticity of subsitution between intermeidates in sector 5</t>
  </si>
  <si>
    <t>Parameter values for labour cost share</t>
  </si>
  <si>
    <t>phiW_1_1_p</t>
  </si>
  <si>
    <t>labour cost share in sector 1 and region 1</t>
  </si>
  <si>
    <t>phiW_2_1_p</t>
  </si>
  <si>
    <t>labour cost share in sector 2 and region 1</t>
  </si>
  <si>
    <t>phiW_3_1_p</t>
  </si>
  <si>
    <t>labour cost share in sector 3 and region 1</t>
  </si>
  <si>
    <t>phiW_4_1_p</t>
  </si>
  <si>
    <t>labour cost share in sector 4 and region 1</t>
  </si>
  <si>
    <t>phiW_5_1_p</t>
  </si>
  <si>
    <t>labour cost share in sector 5 and region 1</t>
  </si>
  <si>
    <t>Parameter values for elasticity of subsitution between labour and captial</t>
  </si>
  <si>
    <t>etaNK_1_1_p</t>
  </si>
  <si>
    <t>elasticity of subsitution between labour and captial in sector 1 and region 1</t>
  </si>
  <si>
    <t>etaNK_2_1_p</t>
  </si>
  <si>
    <t>elasticity of subsitution between labour and captial in sector 2 and region 1</t>
  </si>
  <si>
    <t>etaNK_3_1_p</t>
  </si>
  <si>
    <t>elasticity of subsitution between labour and captial in sector 3 and region 1</t>
  </si>
  <si>
    <t>etaNK_4_1_p</t>
  </si>
  <si>
    <t>elasticity of subsitution between labour and captial in sector 4 and region 1</t>
  </si>
  <si>
    <t>etaNK_5_1_p</t>
  </si>
  <si>
    <t>elasticity of subsitution between labour and captial in sector 5 and region 1</t>
  </si>
  <si>
    <t>Parameter values for tax rate on capital expenditures</t>
  </si>
  <si>
    <t>tauKF_1_1_p</t>
  </si>
  <si>
    <t>tax rate on capital expenditures in sector 1 and region 1</t>
  </si>
  <si>
    <t>tauKF_2_1_p</t>
  </si>
  <si>
    <t>tax rate on capital expenditures in sector 2 and region 1</t>
  </si>
  <si>
    <t>tauKF_3_1_p</t>
  </si>
  <si>
    <t>tax rate on capital expenditures in sector 3 and region 1</t>
  </si>
  <si>
    <t>tauKF_4_1_p</t>
  </si>
  <si>
    <t>tax rate on capital expenditures in sector 4 and region 1</t>
  </si>
  <si>
    <t>tauKF_5_1_p</t>
  </si>
  <si>
    <t>tax rate on capital expenditures in sector 5 and region 1</t>
  </si>
  <si>
    <t>Parameter values for tax rate on labour costs</t>
  </si>
  <si>
    <t>tauNF_1_1_p</t>
  </si>
  <si>
    <t>tax rate on labour costs in sector 1 and region 1</t>
  </si>
  <si>
    <t>tauNF_2_1_p</t>
  </si>
  <si>
    <t>tax rate on labour costs in sector 2 and region 1</t>
  </si>
  <si>
    <t>tauNF_3_1_p</t>
  </si>
  <si>
    <t>tax rate on labour costs in sector 3 and region 1</t>
  </si>
  <si>
    <t>tauNF_4_1_p</t>
  </si>
  <si>
    <t>tax rate on labour costs in sector 4 and region 1</t>
  </si>
  <si>
    <t>tauNF_5_1_p</t>
  </si>
  <si>
    <t>tax rate on labour costs in sector 5 and region 1</t>
  </si>
  <si>
    <t>Parameter values for share of emissions on total emissions for each sector</t>
  </si>
  <si>
    <t>sE_1_1_p</t>
  </si>
  <si>
    <t>share of emissions on total emissions for each sector in sector 1 and region 1</t>
  </si>
  <si>
    <t>sE_2_1_p</t>
  </si>
  <si>
    <t>share of emissions on total emissions for each sector in sector 2 and region 1</t>
  </si>
  <si>
    <t>sE_3_1_p</t>
  </si>
  <si>
    <t>share of emissions on total emissions for each sector in sector 3 and region 1</t>
  </si>
  <si>
    <t>sE_4_1_p</t>
  </si>
  <si>
    <t>share of emissions on total emissions for each sector in sector 4 and region 1</t>
  </si>
  <si>
    <t>sE_5_1_p</t>
  </si>
  <si>
    <t>share of emissions on total emissions for each sector in sector 5 and region 1</t>
  </si>
  <si>
    <t>Parameter values for share of inputs from another sector for each subsector</t>
  </si>
  <si>
    <t>phiQI_1_1_1_p</t>
  </si>
  <si>
    <t>share of inputs from another sector for each subsector in sector 1 and region 1 from sector 1</t>
  </si>
  <si>
    <t>phiQI_1_1_2_p</t>
  </si>
  <si>
    <t>share of inputs from another sector for each subsector in sector 1 and region 1 from sector 2</t>
  </si>
  <si>
    <t>phiQI_1_1_3_p</t>
  </si>
  <si>
    <t>share of inputs from another sector for each subsector in sector 1 and region 1 from sector 3</t>
  </si>
  <si>
    <t>phiQI_1_1_4_p</t>
  </si>
  <si>
    <t>share of inputs from another sector for each subsector in sector 1 and region 1 from sector 4</t>
  </si>
  <si>
    <t>phiQI_2_1_1_p</t>
  </si>
  <si>
    <t>share of inputs from another sector for each subsector in sector 2 and region 1 from sector 1</t>
  </si>
  <si>
    <t>phiQI_2_1_2_p</t>
  </si>
  <si>
    <t>share of inputs from another sector for each subsector in sector 2 and region 1 from sector 2</t>
  </si>
  <si>
    <t>phiQI_2_1_3_p</t>
  </si>
  <si>
    <t>share of inputs from another sector for each subsector in sector 2 and region 1 from sector 3</t>
  </si>
  <si>
    <t>phiQI_2_1_4_p</t>
  </si>
  <si>
    <t>share of inputs from another sector for each subsector in sector 2 and region 1 from sector 4</t>
  </si>
  <si>
    <t>phiQI_3_1_1_p</t>
  </si>
  <si>
    <t>share of inputs from another sector for each subsector in sector 3 and region 1 from sector 1</t>
  </si>
  <si>
    <t>phiQI_3_1_2_p</t>
  </si>
  <si>
    <t>share of inputs from another sector for each subsector in sector 3 and region 1 from sector 2</t>
  </si>
  <si>
    <t>phiQI_3_1_3_p</t>
  </si>
  <si>
    <t>share of inputs from another sector for each subsector in sector 3 and region 1 from sector 3</t>
  </si>
  <si>
    <t>phiQI_3_1_4_p</t>
  </si>
  <si>
    <t>share of inputs from another sector for each subsector in sector 3 and region 1 from sector 4</t>
  </si>
  <si>
    <t>phiQI_4_1_1_p</t>
  </si>
  <si>
    <t>share of inputs from another sector for each subsector in sector 4 and region 1 from sector 1</t>
  </si>
  <si>
    <t>phiQI_4_1_2_p</t>
  </si>
  <si>
    <t>share of inputs from another sector for each subsector in sector 4 and region 1 from sector 2</t>
  </si>
  <si>
    <t>phiQI_4_1_3_p</t>
  </si>
  <si>
    <t>share of inputs from another sector for each subsector in sector 4 and region 1 from sector 3</t>
  </si>
  <si>
    <t>phiQI_4_1_4_p</t>
  </si>
  <si>
    <t>share of inputs from another sector for each subsector in sector 4 and region 1 from sector 4</t>
  </si>
  <si>
    <t>phiQI_5_1_1_p</t>
  </si>
  <si>
    <t>share of inputs from another sector for each subsector in sector 5 and region 1 from sector 1</t>
  </si>
  <si>
    <t>phiQI_5_1_2_p</t>
  </si>
  <si>
    <t>share of inputs from another sector for each subsector in sector 5 and region 1 from sector 2</t>
  </si>
  <si>
    <t>phiQI_5_1_3_p</t>
  </si>
  <si>
    <t>share of inputs from another sector for each subsector in sector 5 and region 1 from sector 3</t>
  </si>
  <si>
    <t>phiQI_5_1_4_p</t>
  </si>
  <si>
    <t>share of inputs from another sector for each subsector in sector 5 and region 1 from sector 4</t>
  </si>
  <si>
    <t>Parameter values for share of emissions on total emissions for each sector using prdoucts from another sector as input</t>
  </si>
  <si>
    <t>sEI_1_1_1_p</t>
  </si>
  <si>
    <t>share of emissions on total emissions for each sector using prdoucts from another sector as input in sector 1 and region 1 from sector 1</t>
  </si>
  <si>
    <t>sEI_1_1_2_p</t>
  </si>
  <si>
    <t>share of emissions on total emissions for each sector using prdoucts from another sector as input in sector 1 and region 1 from sector 2</t>
  </si>
  <si>
    <t>sEI_1_1_3_p</t>
  </si>
  <si>
    <t>share of emissions on total emissions for each sector using prdoucts from another sector as input in sector 1 and region 1 from sector 3</t>
  </si>
  <si>
    <t>sEI_1_1_4_p</t>
  </si>
  <si>
    <t>share of emissions on total emissions for each sector using prdoucts from another sector as input in sector 1 and region 1 from sector 4</t>
  </si>
  <si>
    <t>sEI_2_1_1_p</t>
  </si>
  <si>
    <t>share of emissions on total emissions for each sector using prdoucts from another sector as input in sector 2 and region 1 from sector 1</t>
  </si>
  <si>
    <t>sEI_2_1_2_p</t>
  </si>
  <si>
    <t>share of emissions on total emissions for each sector using prdoucts from another sector as input in sector 2 and region 1 from sector 2</t>
  </si>
  <si>
    <t>sEI_2_1_3_p</t>
  </si>
  <si>
    <t>share of emissions on total emissions for each sector using prdoucts from another sector as input in sector 2 and region 1 from sector 3</t>
  </si>
  <si>
    <t>sEI_2_1_4_p</t>
  </si>
  <si>
    <t>share of emissions on total emissions for each sector using prdoucts from another sector as input in sector 2 and region 1 from sector 4</t>
  </si>
  <si>
    <t>sEI_3_1_1_p</t>
  </si>
  <si>
    <t>share of emissions on total emissions for each sector using prdoucts from another sector as input in sector 3 and region 1 from sector 1</t>
  </si>
  <si>
    <t>sEI_3_1_2_p</t>
  </si>
  <si>
    <t>share of emissions on total emissions for each sector using prdoucts from another sector as input in sector 3 and region 1 from sector 2</t>
  </si>
  <si>
    <t>sEI_3_1_3_p</t>
  </si>
  <si>
    <t>share of emissions on total emissions for each sector using prdoucts from another sector as input in sector 3 and region 1 from sector 3</t>
  </si>
  <si>
    <t>sEI_3_1_4_p</t>
  </si>
  <si>
    <t>share of emissions on total emissions for each sector using prdoucts from another sector as input in sector 3 and region 1 from sector 4</t>
  </si>
  <si>
    <t>sEI_4_1_1_p</t>
  </si>
  <si>
    <t>share of emissions on total emissions for each sector using prdoucts from another sector as input in sector 4 and region 1 from sector 1</t>
  </si>
  <si>
    <t>sEI_4_1_2_p</t>
  </si>
  <si>
    <t>share of emissions on total emissions for each sector using prdoucts from another sector as input in sector 4 and region 1 from sector 2</t>
  </si>
  <si>
    <t>sEI_4_1_3_p</t>
  </si>
  <si>
    <t>share of emissions on total emissions for each sector using prdoucts from another sector as input in sector 4 and region 1 from sector 3</t>
  </si>
  <si>
    <t>sEI_4_1_4_p</t>
  </si>
  <si>
    <t>share of emissions on total emissions for each sector using prdoucts from another sector as input in sector 4 and region 1 from sector 4</t>
  </si>
  <si>
    <t>sEI_5_1_1_p</t>
  </si>
  <si>
    <t>share of emissions on total emissions for each sector using prdoucts from another sector as input in sector 5 and region 1 from sector 1</t>
  </si>
  <si>
    <t>sEI_5_1_2_p</t>
  </si>
  <si>
    <t>share of emissions on total emissions for each sector using prdoucts from another sector as input in sector 5 and region 1 from sector 2</t>
  </si>
  <si>
    <t>sEI_5_1_3_p</t>
  </si>
  <si>
    <t>share of emissions on total emissions for each sector using prdoucts from another sector as input in sector 5 and region 1 from sector 3</t>
  </si>
  <si>
    <t>sEI_5_1_4_p</t>
  </si>
  <si>
    <t>share of emissions on total emissions for each sector using prdoucts from another sector as input in sector 5 and region 1 from sector 4</t>
  </si>
  <si>
    <t>Parameter values for share of production used in one region from another region in the subsector</t>
  </si>
  <si>
    <t>phiQ_D_1_1_1_p</t>
  </si>
  <si>
    <t>share of production used in one region from another region in the subsector in sector 1 and region 1 from region 1</t>
  </si>
  <si>
    <t>phiQ_D_2_1_1_p</t>
  </si>
  <si>
    <t>share of production used in one region from another region in the subsector in sector 2 and region 1 from region 1</t>
  </si>
  <si>
    <t>phiQ_D_3_1_1_p</t>
  </si>
  <si>
    <t>share of production used in one region from another region in the subsector in sector 3 and region 1 from region 1</t>
  </si>
  <si>
    <t>phiQ_D_4_1_1_p</t>
  </si>
  <si>
    <t>share of production used in one region from another region in the subsector in sector 4 and region 1 from region 1</t>
  </si>
  <si>
    <t>phiQ_D_5_1_1_p</t>
  </si>
  <si>
    <t>share of production used in one region from another region in the subsector in sector 5 and region 1 from region 1</t>
  </si>
  <si>
    <t>Time</t>
  </si>
  <si>
    <t>exo_LF_1</t>
  </si>
  <si>
    <t>exo_NLF_1</t>
  </si>
  <si>
    <t>exo_NX_1</t>
  </si>
  <si>
    <t>exo_B_1</t>
  </si>
  <si>
    <t>exo_NXL_1</t>
  </si>
  <si>
    <t>exo_BL_1</t>
  </si>
  <si>
    <t>gY_1_1</t>
  </si>
  <si>
    <t>gN_1_1</t>
  </si>
  <si>
    <t>gY_2_1</t>
  </si>
  <si>
    <t>gN_2_1</t>
  </si>
  <si>
    <t>gY_3_1</t>
  </si>
  <si>
    <t>gN_3_1</t>
  </si>
  <si>
    <t>gY_4_1</t>
  </si>
  <si>
    <t>gN_4_1</t>
  </si>
  <si>
    <t>gY_5_1</t>
  </si>
  <si>
    <t>gN_5_1</t>
  </si>
  <si>
    <t>exo_D_3_1</t>
  </si>
  <si>
    <t>gY</t>
  </si>
  <si>
    <t>Y</t>
  </si>
  <si>
    <t>N_1_1</t>
  </si>
  <si>
    <t>N_2_1</t>
  </si>
  <si>
    <t>N_3_1</t>
  </si>
  <si>
    <t>N_4_1</t>
  </si>
  <si>
    <t>N_5_1</t>
  </si>
  <si>
    <t>N</t>
  </si>
  <si>
    <t>exo_E_1</t>
  </si>
  <si>
    <t>exo_CapTrade_1</t>
  </si>
  <si>
    <t>exo_tauS_1</t>
  </si>
  <si>
    <t>E_1</t>
  </si>
  <si>
    <t>exo_kappaE_2_1</t>
  </si>
  <si>
    <t>E_2_1</t>
  </si>
  <si>
    <t>exo_E_2_1</t>
  </si>
  <si>
    <t>exo_EE_1</t>
  </si>
  <si>
    <t>exo_PE_1</t>
  </si>
  <si>
    <t>exo_Q_2_1</t>
  </si>
  <si>
    <t>phiY_1_1</t>
  </si>
  <si>
    <t>phiY_2_1</t>
  </si>
  <si>
    <t>phiY_3_1</t>
  </si>
  <si>
    <t>phiY_4_1</t>
  </si>
  <si>
    <t>phiY_5_1</t>
  </si>
  <si>
    <t>Capital Adjustment Cost</t>
  </si>
  <si>
    <t>phiK_1_1_p</t>
  </si>
  <si>
    <t>phiK_2_1_p</t>
  </si>
  <si>
    <t>phiK_3_1_p</t>
  </si>
  <si>
    <t>phiK_4_1_p</t>
  </si>
  <si>
    <t>phiK_5_1_p</t>
  </si>
  <si>
    <t>Depreciation  Rate</t>
  </si>
  <si>
    <t>depreciation rate  in sector 1 and region 1</t>
  </si>
  <si>
    <t>depreciation rate  in sector 2 and region 1</t>
  </si>
  <si>
    <t>depreciation rate  in sector 3 and region 1</t>
  </si>
  <si>
    <t>depreciation rate  in sector 4 and region 1</t>
  </si>
  <si>
    <t>depreciation rate  in sector 5 and region 1</t>
  </si>
  <si>
    <t>delta_1_1_p</t>
  </si>
  <si>
    <t>delta_2_1_p</t>
  </si>
  <si>
    <t>delta_3_1_p</t>
  </si>
  <si>
    <t>delta_4_1_p</t>
  </si>
  <si>
    <t>delta_5_1_p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</si>
</sst>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0.000"/>
  </numFmts>
  <fonts count="6" x14ac:knownFonts="1">
    <font>
      <sz val="11"/>
      <name val="Calibri"/>
      <charset val="1"/>
    </font>
    <font>
      <u/>
      <sz val="11"/>
      <color theme="10"/>
      <name val="Calibri"/>
      <family val="2"/>
    </font>
    <font>
      <sz val="11"/>
      <name val="Calibri"/>
      <family val="2"/>
      <charset val="1"/>
    </font>
    <font>
      <sz val="8"/>
      <name val="Calibri"/>
      <family val="2"/>
    </font>
    <font>
      <sz val="11"/>
      <name val="Calibri"/>
      <family val="2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5" fillId="3" borderId="0" applyNumberFormat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0" borderId="0" xfId="1" applyBorder="1" applyProtection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4" fillId="0" borderId="0" xfId="0" applyFont="1"/>
    <xf numFmtId="0" fontId="5" fillId="3" borderId="0" xfId="2"/>
    <xf numFmtId="0" fontId="0" fillId="2" borderId="0" xfId="0" applyFill="1"/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NZ!$L$1</c:f>
              <c:strCache>
                <c:ptCount val="1"/>
                <c:pt idx="0">
                  <c:v>E_1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NZ!$L$2:$L$25</c:f>
              <c:numCache>
                <c:formatCode>General</c:formatCode>
                <c:ptCount val="24"/>
                <c:pt idx="0">
                  <c:v>1.05</c:v>
                </c:pt>
                <c:pt idx="1">
                  <c:v>1.0647</c:v>
                </c:pt>
                <c:pt idx="2">
                  <c:v>1.0966410000000002</c:v>
                </c:pt>
                <c:pt idx="3">
                  <c:v>1.1185738200000002</c:v>
                </c:pt>
                <c:pt idx="4">
                  <c:v>1.1297595582000004</c:v>
                </c:pt>
                <c:pt idx="5">
                  <c:v>1.1297595582000004</c:v>
                </c:pt>
                <c:pt idx="6">
                  <c:v>1.1184619626180001</c:v>
                </c:pt>
                <c:pt idx="7">
                  <c:v>1.0960927233656401</c:v>
                </c:pt>
                <c:pt idx="8">
                  <c:v>1.0523052243142641</c:v>
                </c:pt>
                <c:pt idx="9">
                  <c:v>0.99451022235710773</c:v>
                </c:pt>
                <c:pt idx="10">
                  <c:v>0.94478471123925245</c:v>
                </c:pt>
                <c:pt idx="11">
                  <c:v>0.88809762856489727</c:v>
                </c:pt>
                <c:pt idx="12">
                  <c:v>0.82593079456535456</c:v>
                </c:pt>
                <c:pt idx="13">
                  <c:v>0.75985633100012617</c:v>
                </c:pt>
                <c:pt idx="14">
                  <c:v>0.69146926121011487</c:v>
                </c:pt>
                <c:pt idx="15">
                  <c:v>0.6223223350891034</c:v>
                </c:pt>
                <c:pt idx="16">
                  <c:v>0.52125195631777099</c:v>
                </c:pt>
                <c:pt idx="17">
                  <c:v>0.42568135028939014</c:v>
                </c:pt>
                <c:pt idx="18">
                  <c:v>0.33894260643673707</c:v>
                </c:pt>
                <c:pt idx="19">
                  <c:v>0.2631311851471248</c:v>
                </c:pt>
                <c:pt idx="20">
                  <c:v>0.19916961987075313</c:v>
                </c:pt>
                <c:pt idx="21">
                  <c:v>0.14698685000353867</c:v>
                </c:pt>
                <c:pt idx="22">
                  <c:v>0.11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9-4862-A0BD-8B21CA2218EA}"/>
            </c:ext>
          </c:extLst>
        </c:ser>
        <c:ser>
          <c:idx val="1"/>
          <c:order val="1"/>
          <c:tx>
            <c:strRef>
              <c:f>Baseline!$S$1</c:f>
              <c:strCache>
                <c:ptCount val="1"/>
                <c:pt idx="0">
                  <c:v>E_2_1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Baseline!$S$2:$S$25</c:f>
              <c:numCache>
                <c:formatCode>General</c:formatCode>
                <c:ptCount val="24"/>
                <c:pt idx="0">
                  <c:v>1.05</c:v>
                </c:pt>
                <c:pt idx="1">
                  <c:v>1.0920000000000001</c:v>
                </c:pt>
                <c:pt idx="2">
                  <c:v>1.1247600000000002</c:v>
                </c:pt>
                <c:pt idx="3">
                  <c:v>1.1472552000000003</c:v>
                </c:pt>
                <c:pt idx="4">
                  <c:v>1.1587277520000003</c:v>
                </c:pt>
                <c:pt idx="5">
                  <c:v>1.1587277520000003</c:v>
                </c:pt>
                <c:pt idx="6">
                  <c:v>1.1471404744800002</c:v>
                </c:pt>
                <c:pt idx="7">
                  <c:v>1.1241976649904002</c:v>
                </c:pt>
                <c:pt idx="8">
                  <c:v>1.0904717350406883</c:v>
                </c:pt>
                <c:pt idx="9">
                  <c:v>1.0468528656390608</c:v>
                </c:pt>
                <c:pt idx="10">
                  <c:v>0.99451022235710784</c:v>
                </c:pt>
                <c:pt idx="11">
                  <c:v>0.93483960901568142</c:v>
                </c:pt>
                <c:pt idx="12">
                  <c:v>0.86940083638458376</c:v>
                </c:pt>
                <c:pt idx="13">
                  <c:v>0.79984876947381711</c:v>
                </c:pt>
                <c:pt idx="14">
                  <c:v>0.72786238022117355</c:v>
                </c:pt>
                <c:pt idx="15">
                  <c:v>0.65507614219905619</c:v>
                </c:pt>
                <c:pt idx="16">
                  <c:v>0.58301776655715998</c:v>
                </c:pt>
                <c:pt idx="17">
                  <c:v>0.51305563457030079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9-4862-A0BD-8B21CA221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2115744"/>
        <c:axId val="1792116224"/>
      </c:lineChart>
      <c:catAx>
        <c:axId val="1792115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92116224"/>
        <c:crosses val="autoZero"/>
        <c:auto val="1"/>
        <c:lblAlgn val="ctr"/>
        <c:lblOffset val="100"/>
        <c:noMultiLvlLbl val="0"/>
      </c:catAx>
      <c:valAx>
        <c:axId val="17921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9211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223345</xdr:colOff>
      <xdr:row>7</xdr:row>
      <xdr:rowOff>17735</xdr:rowOff>
    </xdr:from>
    <xdr:to>
      <xdr:col>23</xdr:col>
      <xdr:colOff>223345</xdr:colOff>
      <xdr:row>21</xdr:row>
      <xdr:rowOff>93935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FB17B-3DA5-824D-B617-DD8660B4D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chul/Dropbox/2025_GIZ_Vietnam/Code/DGE_CRED_ENTRANCES/DGE_CRED_ENTRANCES/BETA/ExcelFiles/ModelSimulationandCalibration6Sectorsand1Regions_allsub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ata"/>
      <sheetName val="Start"/>
      <sheetName val="Structural Parameters"/>
      <sheetName val="Baseline"/>
      <sheetName val="Scenario"/>
      <sheetName val="ModelSimulationandCalibration6S"/>
    </sheetNames>
    <definedNames>
      <definedName name="phiQI_2_1_p" refersTo="='Data'!$I$3"/>
      <definedName name="phiQI_3_1_p" refersTo="='Data'!$I$4"/>
    </definedNames>
    <sheetDataSet>
      <sheetData sheetId="0"/>
      <sheetData sheetId="1">
        <row r="20">
          <cell r="O20">
            <v>4.9975012493753097E-5</v>
          </cell>
        </row>
        <row r="21">
          <cell r="O21">
            <v>0.28975512243878099</v>
          </cell>
        </row>
        <row r="22">
          <cell r="O22">
            <v>9.3508245877061497E-2</v>
          </cell>
        </row>
        <row r="23">
          <cell r="O23">
            <v>4.0074962518740598E-2</v>
          </cell>
        </row>
        <row r="24">
          <cell r="O24">
            <v>0.45564717641179397</v>
          </cell>
        </row>
        <row r="25">
          <cell r="O25">
            <v>0.120964517741129</v>
          </cell>
        </row>
        <row r="26">
          <cell r="O26">
            <v>0.122952801593323</v>
          </cell>
        </row>
        <row r="27">
          <cell r="O27">
            <v>3.2012910916719303E-2</v>
          </cell>
        </row>
        <row r="28">
          <cell r="O28">
            <v>7.7591509189256502E-3</v>
          </cell>
        </row>
        <row r="29">
          <cell r="O29">
            <v>3.32535039382528E-3</v>
          </cell>
        </row>
        <row r="30">
          <cell r="O30">
            <v>0.69489614134676903</v>
          </cell>
        </row>
        <row r="31">
          <cell r="O31">
            <v>0.139053644830438</v>
          </cell>
        </row>
        <row r="32">
          <cell r="O32">
            <v>2.83669584146953E-2</v>
          </cell>
        </row>
        <row r="33">
          <cell r="O33">
            <v>2.9331072184196698E-3</v>
          </cell>
        </row>
        <row r="34">
          <cell r="O34">
            <v>1.8747528566711399E-2</v>
          </cell>
        </row>
        <row r="35">
          <cell r="O35">
            <v>8.0346551000191595E-3</v>
          </cell>
        </row>
        <row r="36">
          <cell r="O36">
            <v>0.51358829692258101</v>
          </cell>
        </row>
        <row r="37">
          <cell r="O37">
            <v>0.42832945377757298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ph Schult" id="{E4E03C5F-CB4C-4CD5-9447-5D1AA9A06A01}" userId="3a2c93ce427878e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5-06-02T13:15:13.19" personId="{E4E03C5F-CB4C-4CD5-9447-5D1AA9A06A01}" id="{7FE002B8-C48F-4D66-A0BA-5D834250CFEF}">
    <text>Convergence very sensitive to value (below 10 NZ scenario does not work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Normal="100" workbookViewId="0">
      <selection activeCell="B23" sqref="B23"/>
    </sheetView>
  </sheetViews>
  <sheetFormatPr defaultColWidth="8.5703125" defaultRowHeight="15" customHeight="1" x14ac:dyDescent="0.25"/>
  <cols>
    <col min="1" max="1" width="20.42578125" customWidth="1"/>
    <col min="2" max="2" width="45.28515625" customWidth="1"/>
  </cols>
  <sheetData>
    <row r="1" spans="1:3" ht="15" customHeight="1" x14ac:dyDescent="0.25">
      <c r="A1" s="9" t="s">
        <v>0</v>
      </c>
      <c r="B1" s="9"/>
      <c r="C1" s="9"/>
    </row>
    <row r="2" spans="1:3" ht="15" customHeight="1" x14ac:dyDescent="0.25">
      <c r="A2" s="2" t="str">
        <f>HYPERLINK("#'Data'!A1","Data")</f>
        <v>Data</v>
      </c>
      <c r="B2" t="s">
        <v>1</v>
      </c>
    </row>
    <row r="3" spans="1:3" ht="15" customHeight="1" x14ac:dyDescent="0.25">
      <c r="A3" s="2" t="str">
        <f>HYPERLINK("#'Start'!A1","Start")</f>
        <v>Start</v>
      </c>
      <c r="B3" t="s">
        <v>2</v>
      </c>
    </row>
    <row r="4" spans="1:3" ht="15" customHeight="1" x14ac:dyDescent="0.25">
      <c r="A4" s="2" t="str">
        <f>HYPERLINK("#'Structural Parameters'!A1","Structural Parameters")</f>
        <v>Structural Parameters</v>
      </c>
      <c r="B4" t="s">
        <v>3</v>
      </c>
    </row>
    <row r="5" spans="1:3" ht="15" customHeight="1" x14ac:dyDescent="0.25">
      <c r="A5" s="2" t="str">
        <f>HYPERLINK("#'Baseline'!A1","Baseline")</f>
        <v>Baseline</v>
      </c>
      <c r="B5" t="s">
        <v>4</v>
      </c>
    </row>
    <row r="6" spans="1:3" ht="15" customHeight="1" x14ac:dyDescent="0.25">
      <c r="A6" s="2" t="str">
        <f>HYPERLINK("#'Scenario'!A1","Scenario")</f>
        <v>Scenario</v>
      </c>
      <c r="B6" t="s">
        <v>5</v>
      </c>
    </row>
    <row r="7" spans="1:3" ht="15" customHeight="1" x14ac:dyDescent="0.25">
      <c r="A7" s="9" t="s">
        <v>6</v>
      </c>
      <c r="B7" s="9"/>
      <c r="C7" s="9"/>
    </row>
    <row r="8" spans="1:3" ht="15" customHeight="1" x14ac:dyDescent="0.25">
      <c r="A8">
        <v>1</v>
      </c>
      <c r="B8" t="s">
        <v>7</v>
      </c>
    </row>
    <row r="9" spans="1:3" ht="15" customHeight="1" x14ac:dyDescent="0.25">
      <c r="A9" s="9" t="s">
        <v>8</v>
      </c>
      <c r="B9" s="9"/>
      <c r="C9" s="9"/>
    </row>
    <row r="10" spans="1:3" ht="15" customHeight="1" x14ac:dyDescent="0.25">
      <c r="A10">
        <v>1</v>
      </c>
      <c r="B10" t="s">
        <v>9</v>
      </c>
    </row>
    <row r="11" spans="1:3" ht="15" customHeight="1" x14ac:dyDescent="0.25">
      <c r="A11">
        <v>2</v>
      </c>
      <c r="B11" t="s">
        <v>10</v>
      </c>
    </row>
    <row r="12" spans="1:3" ht="15" customHeight="1" x14ac:dyDescent="0.25">
      <c r="A12">
        <v>3</v>
      </c>
      <c r="B12" t="s">
        <v>11</v>
      </c>
    </row>
    <row r="13" spans="1:3" ht="15" customHeight="1" x14ac:dyDescent="0.25">
      <c r="A13">
        <v>4</v>
      </c>
      <c r="B13" t="s">
        <v>12</v>
      </c>
    </row>
    <row r="14" spans="1:3" ht="15" customHeight="1" x14ac:dyDescent="0.25">
      <c r="A14">
        <v>5</v>
      </c>
      <c r="B14" t="s">
        <v>13</v>
      </c>
    </row>
  </sheetData>
  <mergeCells count="3">
    <mergeCell ref="A1:C1"/>
    <mergeCell ref="A7:C7"/>
    <mergeCell ref="A9:C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1"/>
  <sheetViews>
    <sheetView topLeftCell="H1" zoomScale="130" zoomScaleNormal="130" workbookViewId="0">
      <selection activeCell="O3" sqref="O3"/>
    </sheetView>
  </sheetViews>
  <sheetFormatPr defaultColWidth="8.5703125" defaultRowHeight="15" customHeight="1" x14ac:dyDescent="0.25"/>
  <cols>
    <col min="1" max="1" width="11.85546875" customWidth="1"/>
    <col min="2" max="2" width="7.140625" customWidth="1"/>
    <col min="3" max="3" width="25.5703125" customWidth="1"/>
    <col min="4" max="4" width="25.140625" customWidth="1"/>
    <col min="5" max="5" width="18.140625" customWidth="1"/>
    <col min="6" max="6" width="15.85546875" customWidth="1"/>
    <col min="7" max="7" width="27.7109375" customWidth="1"/>
    <col min="8" max="8" width="20.140625" customWidth="1"/>
    <col min="9" max="9" width="19.7109375" customWidth="1"/>
    <col min="10" max="10" width="18.28515625" customWidth="1"/>
    <col min="12" max="12" width="11.85546875" customWidth="1"/>
    <col min="13" max="13" width="7.140625" customWidth="1"/>
    <col min="14" max="14" width="14.85546875" customWidth="1"/>
    <col min="15" max="15" width="30.5703125" customWidth="1"/>
    <col min="16" max="16" width="22.140625" customWidth="1"/>
    <col min="18" max="18" width="11.85546875" customWidth="1"/>
    <col min="19" max="19" width="15.42578125" customWidth="1"/>
    <col min="20" max="20" width="20.42578125" customWidth="1"/>
    <col min="21" max="21" width="48.5703125" customWidth="1"/>
    <col min="23" max="23" width="7.140625" customWidth="1"/>
    <col min="24" max="24" width="31.7109375" customWidth="1"/>
    <col min="25" max="25" width="31.42578125" customWidth="1"/>
    <col min="26" max="26" width="23" customWidth="1"/>
    <col min="27" max="27" width="22.42578125" customWidth="1"/>
    <col min="28" max="28" width="22.7109375" customWidth="1"/>
    <col min="29" max="29" width="25.7109375" customWidth="1"/>
    <col min="31" max="31" width="7.140625" customWidth="1"/>
    <col min="32" max="32" width="39.28515625" customWidth="1"/>
    <col min="34" max="34" width="14.7109375" customWidth="1"/>
    <col min="35" max="35" width="15.85546875" customWidth="1"/>
    <col min="37" max="37" width="46.85546875" customWidth="1"/>
    <col min="38" max="38" width="15.85546875" customWidth="1"/>
  </cols>
  <sheetData>
    <row r="1" spans="1:38" ht="15" customHeigh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L1" s="3" t="s">
        <v>24</v>
      </c>
      <c r="M1" s="3" t="s">
        <v>15</v>
      </c>
      <c r="N1" s="3" t="s">
        <v>25</v>
      </c>
      <c r="O1" s="3" t="s">
        <v>26</v>
      </c>
      <c r="P1" s="3" t="s">
        <v>27</v>
      </c>
      <c r="R1" s="3" t="s">
        <v>24</v>
      </c>
      <c r="S1" s="3" t="s">
        <v>28</v>
      </c>
      <c r="T1" s="3" t="s">
        <v>29</v>
      </c>
      <c r="U1" s="3" t="s">
        <v>30</v>
      </c>
      <c r="W1" s="3" t="s">
        <v>15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E1" s="3" t="s">
        <v>15</v>
      </c>
      <c r="AF1" s="3" t="s">
        <v>37</v>
      </c>
      <c r="AH1" s="3" t="s">
        <v>38</v>
      </c>
      <c r="AI1" s="3" t="s">
        <v>39</v>
      </c>
      <c r="AK1" s="3" t="s">
        <v>38</v>
      </c>
      <c r="AL1" s="3" t="s">
        <v>39</v>
      </c>
    </row>
    <row r="2" spans="1:38" ht="15" customHeight="1" x14ac:dyDescent="0.25">
      <c r="A2" s="3" t="s">
        <v>9</v>
      </c>
      <c r="B2" s="3" t="s">
        <v>7</v>
      </c>
      <c r="C2" s="4">
        <f>[1]Data!C2</f>
        <v>0</v>
      </c>
      <c r="D2" s="4">
        <f>[1]Data!D2</f>
        <v>0</v>
      </c>
      <c r="E2" s="4">
        <f>[1]Data!E2</f>
        <v>0</v>
      </c>
      <c r="F2" s="4">
        <f>[1]Data!F2</f>
        <v>0</v>
      </c>
      <c r="G2" s="4">
        <f>[1]Data!G2</f>
        <v>0</v>
      </c>
      <c r="H2" s="4">
        <f>[1]Data!H2</f>
        <v>0</v>
      </c>
      <c r="I2" s="4">
        <f>[1]Data!I2</f>
        <v>0</v>
      </c>
      <c r="J2" s="4">
        <f>[1]Data!J2</f>
        <v>0</v>
      </c>
      <c r="L2" s="3" t="s">
        <v>9</v>
      </c>
      <c r="M2" s="3" t="s">
        <v>7</v>
      </c>
      <c r="N2" s="3" t="s">
        <v>9</v>
      </c>
      <c r="O2" s="4">
        <f>[1]Data!O2</f>
        <v>0</v>
      </c>
      <c r="P2" s="4">
        <v>0</v>
      </c>
      <c r="R2" s="3" t="s">
        <v>9</v>
      </c>
      <c r="S2" s="3" t="s">
        <v>7</v>
      </c>
      <c r="T2" s="3" t="s">
        <v>7</v>
      </c>
      <c r="U2" s="4">
        <v>1</v>
      </c>
      <c r="W2" s="3" t="s">
        <v>7</v>
      </c>
      <c r="X2" s="4" t="s">
        <v>40</v>
      </c>
      <c r="Y2" s="4" t="s">
        <v>40</v>
      </c>
      <c r="Z2" s="4" t="s">
        <v>40</v>
      </c>
      <c r="AA2" s="4" t="s">
        <v>40</v>
      </c>
      <c r="AB2" s="4" t="s">
        <v>40</v>
      </c>
      <c r="AC2" s="4" t="s">
        <v>40</v>
      </c>
      <c r="AE2" s="3" t="s">
        <v>7</v>
      </c>
      <c r="AF2" t="s">
        <v>40</v>
      </c>
      <c r="AH2" s="3" t="s">
        <v>41</v>
      </c>
      <c r="AI2" t="s">
        <v>40</v>
      </c>
      <c r="AK2" s="3" t="s">
        <v>42</v>
      </c>
      <c r="AL2">
        <v>0.25</v>
      </c>
    </row>
    <row r="3" spans="1:38" ht="15" customHeight="1" x14ac:dyDescent="0.25">
      <c r="A3" s="3" t="s">
        <v>10</v>
      </c>
      <c r="B3" s="3" t="s">
        <v>7</v>
      </c>
      <c r="C3" s="4">
        <f>SUM([1]Data!C3:C4)</f>
        <v>0</v>
      </c>
      <c r="D3" s="4">
        <f>SUM([1]Data!D3:D4)</f>
        <v>0</v>
      </c>
      <c r="E3" s="4">
        <f>SUM([1]Data!E3:E4)</f>
        <v>0</v>
      </c>
      <c r="F3" s="4">
        <f>SUM([1]Data!F3:F4)</f>
        <v>0</v>
      </c>
      <c r="G3" s="4">
        <f>SUM([1]Data!G3:G4)</f>
        <v>0</v>
      </c>
      <c r="H3" s="4">
        <f>SUM([1]Data!H3:H4)</f>
        <v>0</v>
      </c>
      <c r="I3" s="4">
        <f>SUM([1]Data!I3:I4)</f>
        <v>0</v>
      </c>
      <c r="J3" s="4">
        <f>SUM([1]Data!J3:J4)</f>
        <v>0</v>
      </c>
      <c r="L3" s="3" t="s">
        <v>9</v>
      </c>
      <c r="M3" s="3" t="s">
        <v>7</v>
      </c>
      <c r="N3" s="3" t="s">
        <v>43</v>
      </c>
      <c r="O3" s="4">
        <f>SUM([1]Data!O3:O5)</f>
        <v>0</v>
      </c>
      <c r="P3" s="4">
        <v>0</v>
      </c>
      <c r="R3" s="3" t="s">
        <v>10</v>
      </c>
      <c r="S3" s="3" t="s">
        <v>7</v>
      </c>
      <c r="T3" s="3" t="s">
        <v>7</v>
      </c>
      <c r="U3" s="4">
        <v>1</v>
      </c>
      <c r="AK3" s="3" t="s">
        <v>44</v>
      </c>
      <c r="AL3" s="5">
        <v>5</v>
      </c>
    </row>
    <row r="4" spans="1:38" ht="15" customHeight="1" x14ac:dyDescent="0.25">
      <c r="A4" s="3" t="s">
        <v>11</v>
      </c>
      <c r="B4" s="3" t="s">
        <v>7</v>
      </c>
      <c r="C4" s="4">
        <f>[1]Data!C5</f>
        <v>0</v>
      </c>
      <c r="D4" s="4">
        <f>[1]Data!D5</f>
        <v>0</v>
      </c>
      <c r="E4" s="4">
        <f>[1]Data!E5</f>
        <v>0</v>
      </c>
      <c r="F4" s="4">
        <f>[1]Data!F5</f>
        <v>0</v>
      </c>
      <c r="G4" s="4">
        <f>[1]Data!G5</f>
        <v>0</v>
      </c>
      <c r="H4" s="4">
        <f>[1]Data!H5</f>
        <v>0</v>
      </c>
      <c r="I4" s="4">
        <f>[1]Data!I5</f>
        <v>0</v>
      </c>
      <c r="J4" s="4">
        <f>[1]Data!J5</f>
        <v>0</v>
      </c>
      <c r="L4" s="3" t="s">
        <v>9</v>
      </c>
      <c r="M4" s="3" t="s">
        <v>7</v>
      </c>
      <c r="N4" s="3" t="s">
        <v>12</v>
      </c>
      <c r="O4" s="4">
        <f>[1]Data!O6</f>
        <v>0</v>
      </c>
      <c r="P4" s="4">
        <v>0</v>
      </c>
      <c r="R4" s="3" t="s">
        <v>11</v>
      </c>
      <c r="S4" s="3" t="s">
        <v>7</v>
      </c>
      <c r="T4" s="3" t="s">
        <v>7</v>
      </c>
      <c r="U4" s="4">
        <v>1</v>
      </c>
      <c r="AK4" s="3" t="s">
        <v>45</v>
      </c>
      <c r="AL4" s="5">
        <v>0.2</v>
      </c>
    </row>
    <row r="5" spans="1:38" ht="15" customHeight="1" x14ac:dyDescent="0.25">
      <c r="A5" s="3" t="s">
        <v>12</v>
      </c>
      <c r="B5" s="3" t="s">
        <v>7</v>
      </c>
      <c r="C5" s="4">
        <f>[1]Data!C6</f>
        <v>0</v>
      </c>
      <c r="D5" s="4">
        <f>[1]Data!D6</f>
        <v>0</v>
      </c>
      <c r="E5" s="4">
        <f>[1]Data!E6</f>
        <v>0</v>
      </c>
      <c r="F5" s="4">
        <f>[1]Data!F6</f>
        <v>0</v>
      </c>
      <c r="G5" s="4">
        <f>[1]Data!G6</f>
        <v>0</v>
      </c>
      <c r="H5" s="4">
        <f>[1]Data!H6</f>
        <v>0</v>
      </c>
      <c r="I5" s="4">
        <f>[1]Data!I6</f>
        <v>0</v>
      </c>
      <c r="J5" s="4">
        <f>[1]Data!J6</f>
        <v>0</v>
      </c>
      <c r="L5" s="3" t="s">
        <v>9</v>
      </c>
      <c r="M5" s="3" t="s">
        <v>7</v>
      </c>
      <c r="N5" s="3" t="s">
        <v>13</v>
      </c>
      <c r="O5" s="4">
        <f>[1]Data!O7</f>
        <v>0</v>
      </c>
      <c r="P5" s="4">
        <v>0</v>
      </c>
      <c r="R5" s="3" t="s">
        <v>12</v>
      </c>
      <c r="S5" s="3" t="s">
        <v>7</v>
      </c>
      <c r="T5" s="3" t="s">
        <v>7</v>
      </c>
      <c r="U5" s="4">
        <v>1</v>
      </c>
      <c r="AK5" s="3" t="s">
        <v>46</v>
      </c>
      <c r="AL5" s="5">
        <v>1E-3</v>
      </c>
    </row>
    <row r="6" spans="1:38" ht="15" customHeight="1" x14ac:dyDescent="0.25">
      <c r="A6" s="3" t="s">
        <v>13</v>
      </c>
      <c r="B6" s="3" t="s">
        <v>7</v>
      </c>
      <c r="C6" s="4">
        <f>[1]Data!C7</f>
        <v>0</v>
      </c>
      <c r="D6" s="4">
        <f>[1]Data!D7</f>
        <v>0</v>
      </c>
      <c r="E6" s="4">
        <f>[1]Data!E7</f>
        <v>0</v>
      </c>
      <c r="F6" s="4">
        <f>[1]Data!F7</f>
        <v>0</v>
      </c>
      <c r="G6" s="4">
        <f>[1]Data!G7</f>
        <v>0</v>
      </c>
      <c r="H6" s="4">
        <f>[1]Data!H7</f>
        <v>0</v>
      </c>
      <c r="I6" s="4">
        <f>[1]Data!I7</f>
        <v>0</v>
      </c>
      <c r="J6" s="4">
        <f>[1]Data!J7</f>
        <v>0</v>
      </c>
      <c r="L6" s="3" t="s">
        <v>10</v>
      </c>
      <c r="M6" s="3" t="s">
        <v>7</v>
      </c>
      <c r="N6" s="3" t="s">
        <v>9</v>
      </c>
      <c r="O6" s="4" t="e">
        <f t="array" ref="O6">([1]Data!O8*[1]!phiQI_2_1_p+
[1]!phiQI_3_1_p*[1]Data!O14)/([1]!phiQI_2_1_p+
[1]!phiQI_3_1_p)</f>
        <v>#DIV/0!</v>
      </c>
      <c r="P6" s="4">
        <v>0</v>
      </c>
      <c r="R6" s="3" t="s">
        <v>13</v>
      </c>
      <c r="S6" s="3" t="s">
        <v>7</v>
      </c>
      <c r="T6" s="3" t="s">
        <v>7</v>
      </c>
      <c r="U6" s="4">
        <v>1</v>
      </c>
      <c r="AK6" s="3" t="s">
        <v>47</v>
      </c>
      <c r="AL6" s="5">
        <v>0</v>
      </c>
    </row>
    <row r="7" spans="1:38" ht="15" customHeight="1" x14ac:dyDescent="0.25">
      <c r="L7" s="3" t="s">
        <v>10</v>
      </c>
      <c r="M7" s="3" t="s">
        <v>7</v>
      </c>
      <c r="N7" s="3" t="s">
        <v>43</v>
      </c>
      <c r="O7" s="4" t="e">
        <f t="array" ref="O7">(SUM([1]Data!O9:O11)*[1]!phiQI_2_1_p+
[1]!phiQI_3_1_p*SUM([1]Data!O15:O17))/([1]!phiQI_2_1_p+
[1]!phiQI_3_1_p)</f>
        <v>#DIV/0!</v>
      </c>
      <c r="P7" s="4">
        <v>0</v>
      </c>
      <c r="AK7" s="3" t="s">
        <v>48</v>
      </c>
      <c r="AL7" s="5">
        <v>0</v>
      </c>
    </row>
    <row r="8" spans="1:38" ht="15" customHeight="1" x14ac:dyDescent="0.25">
      <c r="L8" s="3" t="s">
        <v>10</v>
      </c>
      <c r="M8" s="3" t="s">
        <v>7</v>
      </c>
      <c r="N8" s="3" t="s">
        <v>12</v>
      </c>
      <c r="O8" s="4" t="e">
        <f t="array" ref="O8">([1]Data!O12*[1]!phiQI_2_1_p+
[1]!phiQI_3_1_p*[1]Data!O18)/([1]!phiQI_2_1_p+
[1]!phiQI_3_1_p)</f>
        <v>#DIV/0!</v>
      </c>
      <c r="P8" s="4">
        <v>0</v>
      </c>
      <c r="AK8" s="3" t="s">
        <v>49</v>
      </c>
      <c r="AL8" s="5">
        <v>0.2</v>
      </c>
    </row>
    <row r="9" spans="1:38" ht="15" customHeight="1" x14ac:dyDescent="0.25">
      <c r="L9" s="3" t="s">
        <v>10</v>
      </c>
      <c r="M9" s="3" t="s">
        <v>7</v>
      </c>
      <c r="N9" s="3" t="s">
        <v>13</v>
      </c>
      <c r="O9" s="4" t="e">
        <f t="array" ref="O9">([1]Data!O13*[1]!phiQI_2_1_p+
[1]!phiQI_3_1_p*[1]Data!O19)/([1]!phiQI_2_1_p+
[1]!phiQI_3_1_p)</f>
        <v>#DIV/0!</v>
      </c>
      <c r="P9" s="4">
        <v>0</v>
      </c>
    </row>
    <row r="10" spans="1:38" ht="15" customHeight="1" x14ac:dyDescent="0.25">
      <c r="L10" s="3" t="s">
        <v>11</v>
      </c>
      <c r="M10" s="3" t="s">
        <v>7</v>
      </c>
      <c r="N10" s="3" t="s">
        <v>9</v>
      </c>
      <c r="O10" s="4">
        <f>([1]Data!O20)</f>
        <v>4.9975012493753097E-5</v>
      </c>
      <c r="P10" s="4">
        <v>0</v>
      </c>
    </row>
    <row r="11" spans="1:38" ht="15" customHeight="1" x14ac:dyDescent="0.25">
      <c r="L11" s="3" t="s">
        <v>11</v>
      </c>
      <c r="M11" s="3" t="s">
        <v>7</v>
      </c>
      <c r="N11" s="3" t="s">
        <v>43</v>
      </c>
      <c r="O11" s="4">
        <f>SUM([1]Data!O21:O23)</f>
        <v>0.42333833083458311</v>
      </c>
      <c r="P11" s="4">
        <v>0</v>
      </c>
    </row>
    <row r="12" spans="1:38" ht="15" customHeight="1" x14ac:dyDescent="0.25">
      <c r="L12" s="3" t="s">
        <v>11</v>
      </c>
      <c r="M12" s="3" t="s">
        <v>7</v>
      </c>
      <c r="N12" s="3" t="s">
        <v>12</v>
      </c>
      <c r="O12" s="4">
        <f>[1]Data!O24</f>
        <v>0.45564717641179397</v>
      </c>
      <c r="P12" s="4">
        <v>0</v>
      </c>
    </row>
    <row r="13" spans="1:38" ht="15" customHeight="1" x14ac:dyDescent="0.25">
      <c r="L13" s="3" t="s">
        <v>11</v>
      </c>
      <c r="M13" s="3" t="s">
        <v>7</v>
      </c>
      <c r="N13" s="3" t="s">
        <v>13</v>
      </c>
      <c r="O13" s="4">
        <f>[1]Data!O25</f>
        <v>0.120964517741129</v>
      </c>
      <c r="P13" s="4">
        <v>0</v>
      </c>
    </row>
    <row r="14" spans="1:38" ht="15" customHeight="1" x14ac:dyDescent="0.25">
      <c r="L14" s="3" t="s">
        <v>12</v>
      </c>
      <c r="M14" s="3" t="s">
        <v>7</v>
      </c>
      <c r="N14" s="3" t="s">
        <v>9</v>
      </c>
      <c r="O14" s="4">
        <f>[1]Data!O26</f>
        <v>0.122952801593323</v>
      </c>
      <c r="P14" s="4">
        <v>0</v>
      </c>
    </row>
    <row r="15" spans="1:38" ht="15" customHeight="1" x14ac:dyDescent="0.25">
      <c r="L15" s="3" t="s">
        <v>12</v>
      </c>
      <c r="M15" s="3" t="s">
        <v>7</v>
      </c>
      <c r="N15" s="3" t="s">
        <v>43</v>
      </c>
      <c r="O15" s="4">
        <f>SUM([1]Data!O27:O29)</f>
        <v>4.3097412229470236E-2</v>
      </c>
      <c r="P15" s="4">
        <v>0</v>
      </c>
    </row>
    <row r="16" spans="1:38" ht="15" customHeight="1" x14ac:dyDescent="0.25">
      <c r="L16" s="3" t="s">
        <v>12</v>
      </c>
      <c r="M16" s="3" t="s">
        <v>7</v>
      </c>
      <c r="N16" s="3" t="s">
        <v>12</v>
      </c>
      <c r="O16" s="4">
        <f>[1]Data!O30</f>
        <v>0.69489614134676903</v>
      </c>
      <c r="P16" s="4">
        <v>0</v>
      </c>
    </row>
    <row r="17" spans="12:16" ht="15" customHeight="1" x14ac:dyDescent="0.25">
      <c r="L17" s="3" t="s">
        <v>12</v>
      </c>
      <c r="M17" s="3" t="s">
        <v>7</v>
      </c>
      <c r="N17" s="3" t="s">
        <v>13</v>
      </c>
      <c r="O17" s="4">
        <f>[1]Data!O31</f>
        <v>0.139053644830438</v>
      </c>
      <c r="P17" s="4">
        <v>0</v>
      </c>
    </row>
    <row r="18" spans="12:16" ht="15" customHeight="1" x14ac:dyDescent="0.25">
      <c r="L18" s="3" t="s">
        <v>13</v>
      </c>
      <c r="M18" s="3" t="s">
        <v>7</v>
      </c>
      <c r="N18" s="3" t="s">
        <v>9</v>
      </c>
      <c r="O18" s="4">
        <f>[1]Data!O32</f>
        <v>2.83669584146953E-2</v>
      </c>
      <c r="P18" s="4">
        <v>0</v>
      </c>
    </row>
    <row r="19" spans="12:16" ht="15" customHeight="1" x14ac:dyDescent="0.25">
      <c r="L19" s="3" t="s">
        <v>13</v>
      </c>
      <c r="M19" s="3" t="s">
        <v>7</v>
      </c>
      <c r="N19" s="3" t="s">
        <v>43</v>
      </c>
      <c r="O19" s="4">
        <f>SUM([1]Data!O33:O35)</f>
        <v>2.9715290885150229E-2</v>
      </c>
      <c r="P19" s="4">
        <v>0</v>
      </c>
    </row>
    <row r="20" spans="12:16" ht="15" customHeight="1" x14ac:dyDescent="0.25">
      <c r="L20" s="3" t="s">
        <v>13</v>
      </c>
      <c r="M20" s="3" t="s">
        <v>7</v>
      </c>
      <c r="N20" s="3" t="s">
        <v>12</v>
      </c>
      <c r="O20" s="4">
        <f>[1]Data!O36</f>
        <v>0.51358829692258101</v>
      </c>
      <c r="P20" s="4">
        <v>0</v>
      </c>
    </row>
    <row r="21" spans="12:16" ht="15" customHeight="1" x14ac:dyDescent="0.25">
      <c r="L21" s="3" t="s">
        <v>13</v>
      </c>
      <c r="M21" s="3" t="s">
        <v>7</v>
      </c>
      <c r="N21" s="3" t="s">
        <v>13</v>
      </c>
      <c r="O21" s="4">
        <f>[1]Data!O37</f>
        <v>0.42832945377757298</v>
      </c>
      <c r="P21" s="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topLeftCell="A13" zoomScale="130" zoomScaleNormal="130" workbookViewId="0">
      <selection activeCell="A12" sqref="A12:C12"/>
    </sheetView>
  </sheetViews>
  <sheetFormatPr defaultColWidth="8.5703125" defaultRowHeight="15" customHeight="1" x14ac:dyDescent="0.25"/>
  <cols>
    <col min="1" max="1" width="12.42578125" customWidth="1"/>
    <col min="2" max="2" width="7" customWidth="1"/>
    <col min="3" max="3" width="60.42578125" customWidth="1"/>
  </cols>
  <sheetData>
    <row r="1" spans="1:3" ht="15" customHeight="1" x14ac:dyDescent="0.25">
      <c r="A1" s="1" t="s">
        <v>50</v>
      </c>
      <c r="B1" s="1" t="s">
        <v>39</v>
      </c>
      <c r="C1" s="1" t="s">
        <v>51</v>
      </c>
    </row>
    <row r="2" spans="1:3" ht="15" customHeight="1" x14ac:dyDescent="0.25">
      <c r="A2" t="s">
        <v>52</v>
      </c>
      <c r="B2">
        <v>5</v>
      </c>
      <c r="C2" t="s">
        <v>53</v>
      </c>
    </row>
    <row r="3" spans="1:3" ht="15" customHeight="1" x14ac:dyDescent="0.25">
      <c r="A3" s="9" t="s">
        <v>54</v>
      </c>
      <c r="B3" s="9"/>
      <c r="C3" s="9"/>
    </row>
    <row r="4" spans="1:3" ht="15" customHeight="1" x14ac:dyDescent="0.25">
      <c r="A4" t="s">
        <v>55</v>
      </c>
      <c r="B4">
        <f>15/100</f>
        <v>0.15</v>
      </c>
      <c r="C4" t="s">
        <v>56</v>
      </c>
    </row>
    <row r="5" spans="1:3" ht="15" customHeight="1" x14ac:dyDescent="0.25">
      <c r="A5" s="9" t="s">
        <v>57</v>
      </c>
      <c r="B5" s="9"/>
      <c r="C5" s="9"/>
    </row>
    <row r="6" spans="1:3" ht="15" customHeight="1" x14ac:dyDescent="0.25">
      <c r="A6" t="s">
        <v>58</v>
      </c>
      <c r="B6">
        <f>0/100</f>
        <v>0</v>
      </c>
      <c r="C6" t="s">
        <v>59</v>
      </c>
    </row>
    <row r="7" spans="1:3" ht="15" customHeight="1" x14ac:dyDescent="0.25">
      <c r="A7" s="9" t="s">
        <v>60</v>
      </c>
      <c r="B7" s="9"/>
      <c r="C7" s="9"/>
    </row>
    <row r="8" spans="1:3" ht="15" customHeight="1" x14ac:dyDescent="0.25">
      <c r="A8" t="s">
        <v>61</v>
      </c>
      <c r="B8">
        <v>1</v>
      </c>
      <c r="C8" t="s">
        <v>62</v>
      </c>
    </row>
    <row r="9" spans="1:3" ht="15" customHeight="1" x14ac:dyDescent="0.25">
      <c r="A9" t="s">
        <v>63</v>
      </c>
      <c r="B9">
        <v>0.01</v>
      </c>
      <c r="C9" t="s">
        <v>64</v>
      </c>
    </row>
    <row r="10" spans="1:3" ht="15" customHeight="1" x14ac:dyDescent="0.25">
      <c r="A10" s="9" t="s">
        <v>65</v>
      </c>
      <c r="B10" s="9"/>
      <c r="C10" s="9"/>
    </row>
    <row r="11" spans="1:3" ht="15" customHeight="1" x14ac:dyDescent="0.25">
      <c r="A11" t="s">
        <v>66</v>
      </c>
      <c r="B11">
        <f>1/100</f>
        <v>0.01</v>
      </c>
      <c r="C11" t="s">
        <v>67</v>
      </c>
    </row>
    <row r="12" spans="1:3" ht="15" customHeight="1" x14ac:dyDescent="0.25">
      <c r="A12" s="9" t="s">
        <v>68</v>
      </c>
      <c r="B12" s="9"/>
      <c r="C12" s="9"/>
    </row>
    <row r="13" spans="1:3" ht="15" customHeight="1" x14ac:dyDescent="0.25">
      <c r="A13" t="s">
        <v>69</v>
      </c>
      <c r="B13">
        <v>1</v>
      </c>
      <c r="C13" t="s">
        <v>70</v>
      </c>
    </row>
    <row r="14" spans="1:3" ht="15" customHeight="1" x14ac:dyDescent="0.25">
      <c r="A14" s="9" t="s">
        <v>71</v>
      </c>
      <c r="B14" s="9"/>
      <c r="C14" s="9"/>
    </row>
    <row r="15" spans="1:3" ht="15" customHeight="1" x14ac:dyDescent="0.25">
      <c r="A15" t="s">
        <v>72</v>
      </c>
      <c r="B15">
        <f>0.96*B13</f>
        <v>0.96</v>
      </c>
      <c r="C15" t="s">
        <v>73</v>
      </c>
    </row>
    <row r="16" spans="1:3" ht="15" customHeight="1" x14ac:dyDescent="0.25">
      <c r="A16" s="9" t="s">
        <v>74</v>
      </c>
      <c r="B16" s="9"/>
      <c r="C16" s="9"/>
    </row>
    <row r="17" spans="1:4" ht="15" customHeight="1" x14ac:dyDescent="0.25">
      <c r="A17" t="s">
        <v>75</v>
      </c>
      <c r="B17">
        <f>25</f>
        <v>25</v>
      </c>
      <c r="C17" t="s">
        <v>76</v>
      </c>
    </row>
    <row r="18" spans="1:4" ht="15" customHeight="1" x14ac:dyDescent="0.25">
      <c r="A18" s="9" t="s">
        <v>77</v>
      </c>
      <c r="B18" s="9"/>
      <c r="C18" s="9"/>
    </row>
    <row r="19" spans="1:4" ht="15" customHeight="1" x14ac:dyDescent="0.25">
      <c r="A19" t="s">
        <v>78</v>
      </c>
      <c r="B19">
        <f>0</f>
        <v>0</v>
      </c>
      <c r="C19" t="s">
        <v>79</v>
      </c>
    </row>
    <row r="20" spans="1:4" ht="15" customHeight="1" x14ac:dyDescent="0.25">
      <c r="A20" t="s">
        <v>80</v>
      </c>
      <c r="B20">
        <f>0</f>
        <v>0</v>
      </c>
      <c r="C20" t="s">
        <v>81</v>
      </c>
    </row>
    <row r="21" spans="1:4" ht="15" customHeight="1" x14ac:dyDescent="0.25">
      <c r="A21" s="9" t="s">
        <v>82</v>
      </c>
      <c r="B21" s="9"/>
      <c r="C21" s="9"/>
    </row>
    <row r="22" spans="1:4" ht="15" customHeight="1" x14ac:dyDescent="0.25">
      <c r="A22" t="s">
        <v>83</v>
      </c>
      <c r="B22">
        <v>4.2502924702181699E-2</v>
      </c>
      <c r="C22" t="s">
        <v>84</v>
      </c>
      <c r="D22">
        <f>B22/(B22+'Structural Parameters'!B29)</f>
        <v>0.35132007924449038</v>
      </c>
    </row>
    <row r="23" spans="1:4" ht="15" customHeight="1" x14ac:dyDescent="0.25">
      <c r="A23" t="s">
        <v>85</v>
      </c>
      <c r="B23">
        <v>0.02</v>
      </c>
      <c r="C23" t="s">
        <v>86</v>
      </c>
      <c r="D23">
        <f>B23/(B23+'Structural Parameters'!B30)</f>
        <v>0.3836910170745344</v>
      </c>
    </row>
    <row r="24" spans="1:4" ht="15" customHeight="1" x14ac:dyDescent="0.25">
      <c r="A24" t="s">
        <v>87</v>
      </c>
      <c r="B24">
        <v>5.0000000000000001E-3</v>
      </c>
      <c r="C24" t="s">
        <v>88</v>
      </c>
      <c r="D24">
        <f>B24/(B24+'Structural Parameters'!B31)</f>
        <v>0.33333333333333337</v>
      </c>
    </row>
    <row r="25" spans="1:4" ht="15" customHeight="1" x14ac:dyDescent="0.25">
      <c r="A25" t="s">
        <v>89</v>
      </c>
      <c r="B25">
        <v>0.116529566303951</v>
      </c>
      <c r="C25" t="s">
        <v>90</v>
      </c>
      <c r="D25">
        <f>B25/(B25+'Structural Parameters'!B32)</f>
        <v>0.19124756853422611</v>
      </c>
    </row>
    <row r="26" spans="1:4" ht="15" customHeight="1" x14ac:dyDescent="0.25">
      <c r="A26" t="s">
        <v>91</v>
      </c>
      <c r="B26">
        <v>9.5695591525809198E-2</v>
      </c>
      <c r="C26" t="s">
        <v>92</v>
      </c>
      <c r="D26">
        <f>B26/(B26+'Structural Parameters'!B33)</f>
        <v>0.4547787780985566</v>
      </c>
    </row>
    <row r="27" spans="1:4" ht="15" customHeight="1" x14ac:dyDescent="0.25">
      <c r="A27" s="9" t="s">
        <v>93</v>
      </c>
      <c r="B27" s="9"/>
      <c r="C27" s="9"/>
    </row>
    <row r="28" spans="1:4" ht="15" customHeight="1" x14ac:dyDescent="0.25">
      <c r="A28" t="s">
        <v>94</v>
      </c>
      <c r="B28">
        <v>0.43502822518348699</v>
      </c>
      <c r="C28" t="s">
        <v>95</v>
      </c>
    </row>
    <row r="29" spans="1:4" ht="15" customHeight="1" x14ac:dyDescent="0.25">
      <c r="A29" t="s">
        <v>96</v>
      </c>
      <c r="B29">
        <v>6.1000000000000004E-3</v>
      </c>
      <c r="C29" t="s">
        <v>97</v>
      </c>
    </row>
    <row r="30" spans="1:4" ht="15" customHeight="1" x14ac:dyDescent="0.25">
      <c r="A30" t="s">
        <v>98</v>
      </c>
      <c r="B30">
        <v>8.9999999999999998E-4</v>
      </c>
      <c r="C30" t="s">
        <v>99</v>
      </c>
    </row>
    <row r="31" spans="1:4" ht="15" customHeight="1" x14ac:dyDescent="0.25">
      <c r="A31" t="s">
        <v>100</v>
      </c>
      <c r="B31">
        <v>0.22463843154907201</v>
      </c>
      <c r="C31" t="s">
        <v>101</v>
      </c>
    </row>
    <row r="32" spans="1:4" ht="15" customHeight="1" x14ac:dyDescent="0.25">
      <c r="A32" t="s">
        <v>102</v>
      </c>
      <c r="B32">
        <v>0.33333334326744102</v>
      </c>
      <c r="C32" t="s">
        <v>103</v>
      </c>
    </row>
  </sheetData>
  <mergeCells count="10">
    <mergeCell ref="A3:C3"/>
    <mergeCell ref="A5:C5"/>
    <mergeCell ref="A7:C7"/>
    <mergeCell ref="A10:C10"/>
    <mergeCell ref="A12:C12"/>
    <mergeCell ref="A14:C14"/>
    <mergeCell ref="A16:C16"/>
    <mergeCell ref="A18:C18"/>
    <mergeCell ref="A21:C21"/>
    <mergeCell ref="A27:C2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3"/>
  <sheetViews>
    <sheetView tabSelected="1" topLeftCell="A136" zoomScale="141" zoomScaleNormal="220" workbookViewId="0">
      <selection activeCell="B146" sqref="B146"/>
    </sheetView>
  </sheetViews>
  <sheetFormatPr defaultColWidth="8.5703125" defaultRowHeight="15" customHeight="1" x14ac:dyDescent="0.25"/>
  <cols>
    <col min="1" max="1" width="15.85546875" customWidth="1"/>
    <col min="2" max="2" width="12" customWidth="1"/>
    <col min="3" max="3" width="122.7109375" customWidth="1"/>
  </cols>
  <sheetData>
    <row r="1" spans="1:3" ht="15" customHeight="1" x14ac:dyDescent="0.25">
      <c r="A1" s="1" t="s">
        <v>50</v>
      </c>
      <c r="B1" s="1" t="s">
        <v>39</v>
      </c>
      <c r="C1" s="1" t="s">
        <v>51</v>
      </c>
    </row>
    <row r="2" spans="1:3" ht="15" customHeight="1" x14ac:dyDescent="0.25">
      <c r="A2" t="s">
        <v>104</v>
      </c>
      <c r="B2">
        <v>0.97</v>
      </c>
      <c r="C2" t="s">
        <v>105</v>
      </c>
    </row>
    <row r="3" spans="1:3" ht="15" customHeight="1" x14ac:dyDescent="0.25">
      <c r="A3" t="s">
        <v>106</v>
      </c>
      <c r="B3">
        <f>45/1000</f>
        <v>4.4999999999999998E-2</v>
      </c>
      <c r="C3" t="s">
        <v>107</v>
      </c>
    </row>
    <row r="4" spans="1:3" ht="15" customHeight="1" x14ac:dyDescent="0.25">
      <c r="A4" t="s">
        <v>108</v>
      </c>
      <c r="B4">
        <f>45/1000</f>
        <v>4.4999999999999998E-2</v>
      </c>
      <c r="C4" t="s">
        <v>107</v>
      </c>
    </row>
    <row r="5" spans="1:3" ht="15" customHeight="1" x14ac:dyDescent="0.25">
      <c r="A5" t="s">
        <v>109</v>
      </c>
      <c r="B5">
        <v>1</v>
      </c>
      <c r="C5" t="s">
        <v>110</v>
      </c>
    </row>
    <row r="6" spans="1:3" ht="15" customHeight="1" x14ac:dyDescent="0.25">
      <c r="A6" t="s">
        <v>111</v>
      </c>
      <c r="B6">
        <v>0.1</v>
      </c>
      <c r="C6" t="s">
        <v>110</v>
      </c>
    </row>
    <row r="7" spans="1:3" ht="15" customHeight="1" x14ac:dyDescent="0.25">
      <c r="A7" t="s">
        <v>112</v>
      </c>
      <c r="B7">
        <v>40</v>
      </c>
      <c r="C7" t="s">
        <v>113</v>
      </c>
    </row>
    <row r="8" spans="1:3" ht="15" customHeight="1" x14ac:dyDescent="0.25">
      <c r="A8" t="s">
        <v>114</v>
      </c>
      <c r="B8">
        <f>5/10</f>
        <v>0.5</v>
      </c>
      <c r="C8" t="s">
        <v>115</v>
      </c>
    </row>
    <row r="9" spans="1:3" ht="15" customHeight="1" x14ac:dyDescent="0.25">
      <c r="A9" t="s">
        <v>116</v>
      </c>
      <c r="B9">
        <f>1</f>
        <v>1</v>
      </c>
      <c r="C9" t="s">
        <v>117</v>
      </c>
    </row>
    <row r="10" spans="1:3" ht="15" customHeight="1" x14ac:dyDescent="0.25">
      <c r="A10" t="s">
        <v>118</v>
      </c>
      <c r="B10">
        <v>0.6</v>
      </c>
      <c r="C10" t="s">
        <v>119</v>
      </c>
    </row>
    <row r="11" spans="1:3" ht="15" customHeight="1" x14ac:dyDescent="0.25">
      <c r="A11" t="s">
        <v>120</v>
      </c>
      <c r="B11">
        <v>0.6</v>
      </c>
      <c r="C11" t="s">
        <v>121</v>
      </c>
    </row>
    <row r="12" spans="1:3" ht="15" customHeight="1" x14ac:dyDescent="0.25">
      <c r="A12" t="s">
        <v>122</v>
      </c>
      <c r="B12" s="8">
        <v>0.6</v>
      </c>
      <c r="C12" t="s">
        <v>123</v>
      </c>
    </row>
    <row r="13" spans="1:3" ht="15" customHeight="1" x14ac:dyDescent="0.25">
      <c r="A13" t="s">
        <v>124</v>
      </c>
      <c r="B13">
        <v>0.2</v>
      </c>
      <c r="C13" t="s">
        <v>125</v>
      </c>
    </row>
    <row r="14" spans="1:3" ht="15" customHeight="1" x14ac:dyDescent="0.25">
      <c r="A14" t="s">
        <v>126</v>
      </c>
      <c r="B14">
        <v>0</v>
      </c>
      <c r="C14" t="s">
        <v>127</v>
      </c>
    </row>
    <row r="15" spans="1:3" ht="15" customHeight="1" x14ac:dyDescent="0.25">
      <c r="A15" t="s">
        <v>128</v>
      </c>
      <c r="B15">
        <v>0</v>
      </c>
      <c r="C15" t="s">
        <v>129</v>
      </c>
    </row>
    <row r="16" spans="1:3" ht="15" customHeight="1" x14ac:dyDescent="0.25">
      <c r="A16" s="9" t="s">
        <v>130</v>
      </c>
      <c r="B16" s="9"/>
      <c r="C16" s="9"/>
    </row>
    <row r="17" spans="1:3" ht="15" customHeight="1" x14ac:dyDescent="0.25">
      <c r="A17" t="s">
        <v>131</v>
      </c>
      <c r="B17">
        <v>1</v>
      </c>
      <c r="C17" t="s">
        <v>132</v>
      </c>
    </row>
    <row r="18" spans="1:3" ht="15" customHeight="1" x14ac:dyDescent="0.25">
      <c r="A18" t="s">
        <v>133</v>
      </c>
      <c r="B18">
        <v>5</v>
      </c>
      <c r="C18" t="s">
        <v>134</v>
      </c>
    </row>
    <row r="19" spans="1:3" ht="15" customHeight="1" x14ac:dyDescent="0.25">
      <c r="A19" t="s">
        <v>135</v>
      </c>
      <c r="B19">
        <v>1</v>
      </c>
      <c r="C19" t="s">
        <v>136</v>
      </c>
    </row>
    <row r="20" spans="1:3" ht="15" customHeight="1" x14ac:dyDescent="0.25">
      <c r="A20" t="s">
        <v>137</v>
      </c>
      <c r="B20">
        <v>1</v>
      </c>
      <c r="C20" t="s">
        <v>138</v>
      </c>
    </row>
    <row r="21" spans="1:3" ht="15" customHeight="1" x14ac:dyDescent="0.25">
      <c r="A21" t="s">
        <v>139</v>
      </c>
      <c r="B21">
        <v>1</v>
      </c>
      <c r="C21" t="s">
        <v>140</v>
      </c>
    </row>
    <row r="22" spans="1:3" ht="15" customHeight="1" x14ac:dyDescent="0.25">
      <c r="A22" s="9" t="s">
        <v>141</v>
      </c>
      <c r="B22" s="9"/>
      <c r="C22" s="9"/>
    </row>
    <row r="23" spans="1:3" ht="15" customHeight="1" x14ac:dyDescent="0.25">
      <c r="A23" t="s">
        <v>142</v>
      </c>
      <c r="B23">
        <v>2</v>
      </c>
      <c r="C23" t="s">
        <v>143</v>
      </c>
    </row>
    <row r="24" spans="1:3" ht="15" customHeight="1" x14ac:dyDescent="0.25">
      <c r="A24" t="s">
        <v>144</v>
      </c>
      <c r="B24">
        <v>2</v>
      </c>
      <c r="C24" t="s">
        <v>145</v>
      </c>
    </row>
    <row r="25" spans="1:3" ht="15" customHeight="1" x14ac:dyDescent="0.25">
      <c r="A25" t="s">
        <v>146</v>
      </c>
      <c r="B25">
        <v>2</v>
      </c>
      <c r="C25" t="s">
        <v>147</v>
      </c>
    </row>
    <row r="26" spans="1:3" ht="15" customHeight="1" x14ac:dyDescent="0.25">
      <c r="A26" t="s">
        <v>148</v>
      </c>
      <c r="B26">
        <v>2</v>
      </c>
      <c r="C26" t="s">
        <v>149</v>
      </c>
    </row>
    <row r="27" spans="1:3" ht="15" customHeight="1" x14ac:dyDescent="0.25">
      <c r="A27" t="s">
        <v>150</v>
      </c>
      <c r="B27">
        <v>2</v>
      </c>
      <c r="C27" t="s">
        <v>151</v>
      </c>
    </row>
    <row r="28" spans="1:3" ht="15" customHeight="1" x14ac:dyDescent="0.25">
      <c r="A28" s="9" t="s">
        <v>152</v>
      </c>
      <c r="B28" s="9"/>
      <c r="C28" s="9"/>
    </row>
    <row r="29" spans="1:3" ht="15" customHeight="1" x14ac:dyDescent="0.25">
      <c r="A29" t="s">
        <v>153</v>
      </c>
      <c r="B29">
        <v>7.8477705820228894E-2</v>
      </c>
      <c r="C29" t="s">
        <v>154</v>
      </c>
    </row>
    <row r="30" spans="1:3" ht="15" customHeight="1" x14ac:dyDescent="0.25">
      <c r="A30" t="s">
        <v>155</v>
      </c>
      <c r="B30">
        <v>3.2125275573274298E-2</v>
      </c>
      <c r="C30" t="s">
        <v>156</v>
      </c>
    </row>
    <row r="31" spans="1:3" ht="15" customHeight="1" x14ac:dyDescent="0.25">
      <c r="A31" t="s">
        <v>157</v>
      </c>
      <c r="B31">
        <v>0.01</v>
      </c>
      <c r="C31" t="s">
        <v>158</v>
      </c>
    </row>
    <row r="32" spans="1:3" ht="15" customHeight="1" x14ac:dyDescent="0.25">
      <c r="A32" t="s">
        <v>159</v>
      </c>
      <c r="B32">
        <v>0.49278310207173398</v>
      </c>
      <c r="C32" t="s">
        <v>160</v>
      </c>
    </row>
    <row r="33" spans="1:3" ht="15" customHeight="1" x14ac:dyDescent="0.25">
      <c r="A33" t="s">
        <v>161</v>
      </c>
      <c r="B33">
        <v>0.114726697583448</v>
      </c>
      <c r="C33" t="s">
        <v>162</v>
      </c>
    </row>
    <row r="34" spans="1:3" ht="15" customHeight="1" x14ac:dyDescent="0.25">
      <c r="A34" s="9" t="s">
        <v>163</v>
      </c>
      <c r="B34" s="9"/>
      <c r="C34" s="9"/>
    </row>
    <row r="35" spans="1:3" ht="15" customHeight="1" x14ac:dyDescent="0.25">
      <c r="A35" t="s">
        <v>164</v>
      </c>
      <c r="B35">
        <v>2.5539136984797698E-3</v>
      </c>
      <c r="C35" t="s">
        <v>165</v>
      </c>
    </row>
    <row r="36" spans="1:3" ht="15" customHeight="1" x14ac:dyDescent="0.25">
      <c r="A36" t="s">
        <v>166</v>
      </c>
      <c r="B36">
        <v>1.8043360791558699E-3</v>
      </c>
      <c r="C36" t="s">
        <v>167</v>
      </c>
    </row>
    <row r="37" spans="1:3" ht="15" customHeight="1" x14ac:dyDescent="0.25">
      <c r="A37" t="s">
        <v>168</v>
      </c>
      <c r="B37">
        <v>3.1841224926280101E-4</v>
      </c>
      <c r="C37" t="s">
        <v>169</v>
      </c>
    </row>
    <row r="38" spans="1:3" ht="15" customHeight="1" x14ac:dyDescent="0.25">
      <c r="A38" t="s">
        <v>170</v>
      </c>
      <c r="B38">
        <v>2.9708518703729401E-2</v>
      </c>
      <c r="C38" t="s">
        <v>171</v>
      </c>
    </row>
    <row r="39" spans="1:3" ht="15" customHeight="1" x14ac:dyDescent="0.25">
      <c r="A39" t="s">
        <v>172</v>
      </c>
      <c r="B39">
        <v>1.6244186793154099E-2</v>
      </c>
      <c r="C39" t="s">
        <v>173</v>
      </c>
    </row>
    <row r="40" spans="1:3" ht="15" customHeight="1" x14ac:dyDescent="0.25">
      <c r="A40" s="9" t="s">
        <v>174</v>
      </c>
      <c r="B40" s="9"/>
      <c r="C40" s="9"/>
    </row>
    <row r="41" spans="1:3" ht="15" customHeight="1" x14ac:dyDescent="0.25">
      <c r="A41" t="s">
        <v>175</v>
      </c>
      <c r="B41">
        <v>9.4822043847469402E-3</v>
      </c>
      <c r="C41" t="s">
        <v>176</v>
      </c>
    </row>
    <row r="42" spans="1:3" ht="15" customHeight="1" x14ac:dyDescent="0.25">
      <c r="A42" t="s">
        <v>177</v>
      </c>
      <c r="B42">
        <v>8.8621251725605806E-3</v>
      </c>
      <c r="C42" t="s">
        <v>178</v>
      </c>
    </row>
    <row r="43" spans="1:3" ht="15" customHeight="1" x14ac:dyDescent="0.25">
      <c r="A43" t="s">
        <v>179</v>
      </c>
      <c r="B43">
        <v>1.5639044422165701E-3</v>
      </c>
      <c r="C43" t="s">
        <v>180</v>
      </c>
    </row>
    <row r="44" spans="1:3" ht="15" customHeight="1" x14ac:dyDescent="0.25">
      <c r="A44" t="s">
        <v>181</v>
      </c>
      <c r="B44">
        <v>0.17433125014951201</v>
      </c>
      <c r="C44" t="s">
        <v>182</v>
      </c>
    </row>
    <row r="45" spans="1:3" ht="15" customHeight="1" x14ac:dyDescent="0.25">
      <c r="A45" t="s">
        <v>183</v>
      </c>
      <c r="B45">
        <v>4.5452521619217701E-2</v>
      </c>
      <c r="C45" t="s">
        <v>184</v>
      </c>
    </row>
    <row r="46" spans="1:3" ht="15" customHeight="1" x14ac:dyDescent="0.25">
      <c r="A46" s="9" t="s">
        <v>185</v>
      </c>
      <c r="B46" s="9"/>
      <c r="C46" s="9"/>
    </row>
    <row r="47" spans="1:3" ht="15" customHeight="1" x14ac:dyDescent="0.25">
      <c r="A47" t="s">
        <v>186</v>
      </c>
      <c r="B47">
        <v>1.9132774784408599E-2</v>
      </c>
      <c r="C47" t="s">
        <v>187</v>
      </c>
    </row>
    <row r="48" spans="1:3" ht="15" customHeight="1" x14ac:dyDescent="0.25">
      <c r="A48" t="s">
        <v>188</v>
      </c>
      <c r="B48">
        <v>2E-3</v>
      </c>
      <c r="C48" t="s">
        <v>189</v>
      </c>
    </row>
    <row r="49" spans="1:3" ht="15" customHeight="1" x14ac:dyDescent="0.25">
      <c r="A49" t="s">
        <v>190</v>
      </c>
      <c r="B49">
        <v>1E-3</v>
      </c>
      <c r="C49" t="s">
        <v>191</v>
      </c>
    </row>
    <row r="50" spans="1:3" ht="15" customHeight="1" x14ac:dyDescent="0.25">
      <c r="A50" t="s">
        <v>192</v>
      </c>
      <c r="B50">
        <v>0.241270610102402</v>
      </c>
      <c r="C50" t="s">
        <v>193</v>
      </c>
    </row>
    <row r="51" spans="1:3" ht="15" customHeight="1" x14ac:dyDescent="0.25">
      <c r="A51" t="s">
        <v>194</v>
      </c>
      <c r="B51">
        <f>0.29-SUM(B47:B50)</f>
        <v>2.6596615113189392E-2</v>
      </c>
      <c r="C51" t="s">
        <v>195</v>
      </c>
    </row>
    <row r="52" spans="1:3" ht="15" customHeight="1" x14ac:dyDescent="0.25">
      <c r="A52" s="9" t="s">
        <v>196</v>
      </c>
      <c r="B52" s="9"/>
      <c r="C52" s="9"/>
    </row>
    <row r="53" spans="1:3" ht="15" customHeight="1" x14ac:dyDescent="0.25">
      <c r="A53" t="s">
        <v>197</v>
      </c>
      <c r="B53">
        <v>1</v>
      </c>
      <c r="C53" t="s">
        <v>198</v>
      </c>
    </row>
    <row r="54" spans="1:3" ht="15" customHeight="1" x14ac:dyDescent="0.25">
      <c r="A54" t="s">
        <v>199</v>
      </c>
      <c r="B54">
        <v>1</v>
      </c>
      <c r="C54" t="s">
        <v>200</v>
      </c>
    </row>
    <row r="55" spans="1:3" ht="15" customHeight="1" x14ac:dyDescent="0.25">
      <c r="A55" t="s">
        <v>201</v>
      </c>
      <c r="B55">
        <v>1</v>
      </c>
      <c r="C55" t="s">
        <v>202</v>
      </c>
    </row>
    <row r="56" spans="1:3" ht="15" customHeight="1" x14ac:dyDescent="0.25">
      <c r="A56" t="s">
        <v>203</v>
      </c>
      <c r="B56">
        <v>1</v>
      </c>
      <c r="C56" t="s">
        <v>204</v>
      </c>
    </row>
    <row r="57" spans="1:3" ht="15" customHeight="1" x14ac:dyDescent="0.25">
      <c r="A57" t="s">
        <v>205</v>
      </c>
      <c r="B57">
        <v>1</v>
      </c>
      <c r="C57" t="s">
        <v>206</v>
      </c>
    </row>
    <row r="58" spans="1:3" ht="15" customHeight="1" x14ac:dyDescent="0.25">
      <c r="A58" s="9" t="s">
        <v>207</v>
      </c>
      <c r="B58" s="9"/>
      <c r="C58" s="9"/>
    </row>
    <row r="59" spans="1:3" ht="15" customHeight="1" x14ac:dyDescent="0.25">
      <c r="A59" t="s">
        <v>208</v>
      </c>
      <c r="B59">
        <v>0.1</v>
      </c>
      <c r="C59" t="s">
        <v>209</v>
      </c>
    </row>
    <row r="60" spans="1:3" ht="15" customHeight="1" x14ac:dyDescent="0.25">
      <c r="A60" t="s">
        <v>210</v>
      </c>
      <c r="B60">
        <v>0.1</v>
      </c>
      <c r="C60" t="s">
        <v>211</v>
      </c>
    </row>
    <row r="61" spans="1:3" ht="15" customHeight="1" x14ac:dyDescent="0.25">
      <c r="A61" t="s">
        <v>212</v>
      </c>
      <c r="B61">
        <v>0.1</v>
      </c>
      <c r="C61" t="s">
        <v>213</v>
      </c>
    </row>
    <row r="62" spans="1:3" ht="15" customHeight="1" x14ac:dyDescent="0.25">
      <c r="A62" t="s">
        <v>214</v>
      </c>
      <c r="B62">
        <v>0.1</v>
      </c>
      <c r="C62" t="s">
        <v>215</v>
      </c>
    </row>
    <row r="63" spans="1:3" ht="15" customHeight="1" x14ac:dyDescent="0.25">
      <c r="A63" t="s">
        <v>216</v>
      </c>
      <c r="B63">
        <v>0.1</v>
      </c>
      <c r="C63" t="s">
        <v>217</v>
      </c>
    </row>
    <row r="64" spans="1:3" ht="15" customHeight="1" x14ac:dyDescent="0.25">
      <c r="A64" s="9" t="s">
        <v>218</v>
      </c>
      <c r="B64" s="9"/>
      <c r="C64" s="9"/>
    </row>
    <row r="65" spans="1:3" ht="15" customHeight="1" x14ac:dyDescent="0.25">
      <c r="A65" t="s">
        <v>219</v>
      </c>
      <c r="B65">
        <v>3.8690909651678498E-2</v>
      </c>
      <c r="C65" t="s">
        <v>220</v>
      </c>
    </row>
    <row r="66" spans="1:3" ht="15" customHeight="1" x14ac:dyDescent="0.25">
      <c r="A66" t="s">
        <v>221</v>
      </c>
      <c r="B66">
        <v>4.6017145662358502E-4</v>
      </c>
      <c r="C66" t="s">
        <v>222</v>
      </c>
    </row>
    <row r="67" spans="1:3" x14ac:dyDescent="0.25">
      <c r="A67" t="s">
        <v>223</v>
      </c>
      <c r="B67">
        <v>2.30085728311792E-4</v>
      </c>
      <c r="C67" t="s">
        <v>224</v>
      </c>
    </row>
    <row r="68" spans="1:3" x14ac:dyDescent="0.25">
      <c r="A68" t="s">
        <v>225</v>
      </c>
      <c r="B68">
        <v>3.0445334428289599E-2</v>
      </c>
      <c r="C68" t="s">
        <v>226</v>
      </c>
    </row>
    <row r="69" spans="1:3" x14ac:dyDescent="0.25">
      <c r="A69" t="s">
        <v>227</v>
      </c>
      <c r="B69">
        <v>7.8958786545361107E-2</v>
      </c>
      <c r="C69" t="s">
        <v>228</v>
      </c>
    </row>
    <row r="70" spans="1:3" x14ac:dyDescent="0.25">
      <c r="A70" s="9" t="s">
        <v>229</v>
      </c>
      <c r="B70" s="9"/>
      <c r="C70" s="9"/>
    </row>
    <row r="71" spans="1:3" x14ac:dyDescent="0.25">
      <c r="A71" t="s">
        <v>230</v>
      </c>
      <c r="B71">
        <v>1</v>
      </c>
      <c r="C71" t="s">
        <v>231</v>
      </c>
    </row>
    <row r="72" spans="1:3" x14ac:dyDescent="0.25">
      <c r="A72" t="s">
        <v>232</v>
      </c>
      <c r="B72">
        <v>1</v>
      </c>
      <c r="C72" t="s">
        <v>233</v>
      </c>
    </row>
    <row r="73" spans="1:3" x14ac:dyDescent="0.25">
      <c r="A73" t="s">
        <v>234</v>
      </c>
      <c r="B73">
        <v>1</v>
      </c>
      <c r="C73" t="s">
        <v>235</v>
      </c>
    </row>
    <row r="74" spans="1:3" x14ac:dyDescent="0.25">
      <c r="A74" t="s">
        <v>236</v>
      </c>
      <c r="B74">
        <v>1</v>
      </c>
      <c r="C74" t="s">
        <v>237</v>
      </c>
    </row>
    <row r="75" spans="1:3" x14ac:dyDescent="0.25">
      <c r="A75" t="s">
        <v>238</v>
      </c>
      <c r="B75">
        <v>1</v>
      </c>
      <c r="C75" t="s">
        <v>239</v>
      </c>
    </row>
    <row r="76" spans="1:3" x14ac:dyDescent="0.25">
      <c r="A76" s="9" t="s">
        <v>240</v>
      </c>
      <c r="B76" s="9"/>
      <c r="C76" s="9"/>
    </row>
    <row r="77" spans="1:3" x14ac:dyDescent="0.25">
      <c r="A77" t="s">
        <v>241</v>
      </c>
      <c r="B77">
        <f>0</f>
        <v>0</v>
      </c>
      <c r="C77" t="s">
        <v>242</v>
      </c>
    </row>
    <row r="78" spans="1:3" x14ac:dyDescent="0.25">
      <c r="A78" t="s">
        <v>243</v>
      </c>
      <c r="B78">
        <f>0</f>
        <v>0</v>
      </c>
      <c r="C78" t="s">
        <v>244</v>
      </c>
    </row>
    <row r="79" spans="1:3" x14ac:dyDescent="0.25">
      <c r="A79" t="s">
        <v>245</v>
      </c>
      <c r="B79">
        <f>0</f>
        <v>0</v>
      </c>
      <c r="C79" t="s">
        <v>246</v>
      </c>
    </row>
    <row r="80" spans="1:3" x14ac:dyDescent="0.25">
      <c r="A80" t="s">
        <v>247</v>
      </c>
      <c r="B80">
        <f>0</f>
        <v>0</v>
      </c>
      <c r="C80" t="s">
        <v>248</v>
      </c>
    </row>
    <row r="81" spans="1:3" x14ac:dyDescent="0.25">
      <c r="A81" t="s">
        <v>249</v>
      </c>
      <c r="B81">
        <f>0</f>
        <v>0</v>
      </c>
      <c r="C81" t="s">
        <v>250</v>
      </c>
    </row>
    <row r="82" spans="1:3" x14ac:dyDescent="0.25">
      <c r="A82" s="9" t="s">
        <v>251</v>
      </c>
      <c r="B82" s="9"/>
      <c r="C82" s="9"/>
    </row>
    <row r="83" spans="1:3" x14ac:dyDescent="0.25">
      <c r="A83" t="s">
        <v>252</v>
      </c>
      <c r="B83">
        <f>0</f>
        <v>0</v>
      </c>
      <c r="C83" t="s">
        <v>253</v>
      </c>
    </row>
    <row r="84" spans="1:3" x14ac:dyDescent="0.25">
      <c r="A84" t="s">
        <v>254</v>
      </c>
      <c r="B84">
        <f>0</f>
        <v>0</v>
      </c>
      <c r="C84" t="s">
        <v>255</v>
      </c>
    </row>
    <row r="85" spans="1:3" x14ac:dyDescent="0.25">
      <c r="A85" t="s">
        <v>256</v>
      </c>
      <c r="B85">
        <f>0</f>
        <v>0</v>
      </c>
      <c r="C85" t="s">
        <v>257</v>
      </c>
    </row>
    <row r="86" spans="1:3" x14ac:dyDescent="0.25">
      <c r="A86" t="s">
        <v>258</v>
      </c>
      <c r="B86">
        <f>0</f>
        <v>0</v>
      </c>
      <c r="C86" t="s">
        <v>259</v>
      </c>
    </row>
    <row r="87" spans="1:3" x14ac:dyDescent="0.25">
      <c r="A87" t="s">
        <v>260</v>
      </c>
      <c r="B87">
        <f>0</f>
        <v>0</v>
      </c>
      <c r="C87" t="s">
        <v>261</v>
      </c>
    </row>
    <row r="88" spans="1:3" x14ac:dyDescent="0.25">
      <c r="A88" s="9" t="s">
        <v>262</v>
      </c>
      <c r="B88" s="9"/>
      <c r="C88" s="9"/>
    </row>
    <row r="89" spans="1:3" x14ac:dyDescent="0.25">
      <c r="A89" t="s">
        <v>263</v>
      </c>
      <c r="B89">
        <v>0</v>
      </c>
      <c r="C89" t="s">
        <v>264</v>
      </c>
    </row>
    <row r="90" spans="1:3" x14ac:dyDescent="0.25">
      <c r="A90" t="s">
        <v>265</v>
      </c>
      <c r="B90">
        <v>1</v>
      </c>
      <c r="C90" t="s">
        <v>266</v>
      </c>
    </row>
    <row r="91" spans="1:3" x14ac:dyDescent="0.25">
      <c r="A91" t="s">
        <v>267</v>
      </c>
      <c r="B91">
        <v>0</v>
      </c>
      <c r="C91" t="s">
        <v>268</v>
      </c>
    </row>
    <row r="92" spans="1:3" x14ac:dyDescent="0.25">
      <c r="A92" t="s">
        <v>269</v>
      </c>
      <c r="B92">
        <v>0</v>
      </c>
      <c r="C92" t="s">
        <v>270</v>
      </c>
    </row>
    <row r="93" spans="1:3" x14ac:dyDescent="0.25">
      <c r="A93" t="s">
        <v>271</v>
      </c>
      <c r="B93">
        <v>0</v>
      </c>
      <c r="C93" t="s">
        <v>272</v>
      </c>
    </row>
    <row r="94" spans="1:3" x14ac:dyDescent="0.25">
      <c r="A94" s="9" t="s">
        <v>273</v>
      </c>
      <c r="B94" s="9"/>
      <c r="C94" s="9"/>
    </row>
    <row r="95" spans="1:3" x14ac:dyDescent="0.25">
      <c r="A95" t="s">
        <v>274</v>
      </c>
      <c r="B95">
        <v>0.32671552859264402</v>
      </c>
      <c r="C95" t="s">
        <v>275</v>
      </c>
    </row>
    <row r="96" spans="1:3" x14ac:dyDescent="0.25">
      <c r="A96" t="s">
        <v>276</v>
      </c>
      <c r="B96">
        <v>1.24609936327178E-2</v>
      </c>
      <c r="C96" t="s">
        <v>277</v>
      </c>
    </row>
    <row r="97" spans="1:3" x14ac:dyDescent="0.25">
      <c r="A97" t="s">
        <v>278</v>
      </c>
      <c r="B97">
        <v>0.52401409339882998</v>
      </c>
      <c r="C97" t="s">
        <v>279</v>
      </c>
    </row>
    <row r="98" spans="1:3" x14ac:dyDescent="0.25">
      <c r="A98" t="s">
        <v>280</v>
      </c>
      <c r="B98">
        <v>0.136809384375808</v>
      </c>
      <c r="C98" t="s">
        <v>281</v>
      </c>
    </row>
    <row r="99" spans="1:3" x14ac:dyDescent="0.25">
      <c r="A99" t="s">
        <v>282</v>
      </c>
      <c r="B99">
        <v>5.2712110809296701E-5</v>
      </c>
      <c r="C99" t="s">
        <v>283</v>
      </c>
    </row>
    <row r="100" spans="1:3" x14ac:dyDescent="0.25">
      <c r="A100" t="s">
        <v>284</v>
      </c>
      <c r="B100">
        <v>0.231885934261786</v>
      </c>
      <c r="C100" t="s">
        <v>285</v>
      </c>
    </row>
    <row r="101" spans="1:3" x14ac:dyDescent="0.25">
      <c r="A101" t="s">
        <v>286</v>
      </c>
      <c r="B101">
        <v>0.62342109748608399</v>
      </c>
      <c r="C101" t="s">
        <v>287</v>
      </c>
    </row>
    <row r="102" spans="1:3" x14ac:dyDescent="0.25">
      <c r="A102" t="s">
        <v>288</v>
      </c>
      <c r="B102">
        <v>0.14464025614132101</v>
      </c>
      <c r="C102" t="s">
        <v>289</v>
      </c>
    </row>
    <row r="103" spans="1:3" x14ac:dyDescent="0.25">
      <c r="A103" t="s">
        <v>290</v>
      </c>
      <c r="B103">
        <v>4.9975012493753097E-5</v>
      </c>
      <c r="C103" t="s">
        <v>291</v>
      </c>
    </row>
    <row r="104" spans="1:3" x14ac:dyDescent="0.25">
      <c r="A104" t="s">
        <v>292</v>
      </c>
      <c r="B104">
        <v>0.423338330834583</v>
      </c>
      <c r="C104" t="s">
        <v>293</v>
      </c>
    </row>
    <row r="105" spans="1:3" x14ac:dyDescent="0.25">
      <c r="A105" t="s">
        <v>294</v>
      </c>
      <c r="B105">
        <v>0.45564717641179397</v>
      </c>
      <c r="C105" t="s">
        <v>295</v>
      </c>
    </row>
    <row r="106" spans="1:3" x14ac:dyDescent="0.25">
      <c r="A106" t="s">
        <v>296</v>
      </c>
      <c r="B106">
        <v>0.120964517741129</v>
      </c>
      <c r="C106" t="s">
        <v>297</v>
      </c>
    </row>
    <row r="107" spans="1:3" x14ac:dyDescent="0.25">
      <c r="A107" t="s">
        <v>298</v>
      </c>
      <c r="B107">
        <v>0.122952801593323</v>
      </c>
      <c r="C107" t="s">
        <v>299</v>
      </c>
    </row>
    <row r="108" spans="1:3" x14ac:dyDescent="0.25">
      <c r="A108" t="s">
        <v>300</v>
      </c>
      <c r="B108">
        <v>4.3097412229470201E-2</v>
      </c>
      <c r="C108" t="s">
        <v>301</v>
      </c>
    </row>
    <row r="109" spans="1:3" x14ac:dyDescent="0.25">
      <c r="A109" t="s">
        <v>302</v>
      </c>
      <c r="B109">
        <v>0.69489614134676903</v>
      </c>
      <c r="C109" t="s">
        <v>303</v>
      </c>
    </row>
    <row r="110" spans="1:3" x14ac:dyDescent="0.25">
      <c r="A110" t="s">
        <v>304</v>
      </c>
      <c r="B110">
        <v>0.139053644830438</v>
      </c>
      <c r="C110" t="s">
        <v>305</v>
      </c>
    </row>
    <row r="111" spans="1:3" x14ac:dyDescent="0.25">
      <c r="A111" t="s">
        <v>306</v>
      </c>
      <c r="B111">
        <v>2.83669584146953E-2</v>
      </c>
      <c r="C111" t="s">
        <v>307</v>
      </c>
    </row>
    <row r="112" spans="1:3" x14ac:dyDescent="0.25">
      <c r="A112" t="s">
        <v>308</v>
      </c>
      <c r="B112">
        <v>2.9715290885150202E-2</v>
      </c>
      <c r="C112" t="s">
        <v>309</v>
      </c>
    </row>
    <row r="113" spans="1:3" x14ac:dyDescent="0.25">
      <c r="A113" t="s">
        <v>310</v>
      </c>
      <c r="B113">
        <v>0.51358829692258101</v>
      </c>
      <c r="C113" t="s">
        <v>311</v>
      </c>
    </row>
    <row r="114" spans="1:3" x14ac:dyDescent="0.25">
      <c r="A114" t="s">
        <v>312</v>
      </c>
      <c r="B114">
        <v>0.42832945377757298</v>
      </c>
      <c r="C114" t="s">
        <v>313</v>
      </c>
    </row>
    <row r="115" spans="1:3" x14ac:dyDescent="0.25">
      <c r="A115" s="9" t="s">
        <v>314</v>
      </c>
      <c r="B115" s="9"/>
      <c r="C115" s="9"/>
    </row>
    <row r="116" spans="1:3" x14ac:dyDescent="0.25">
      <c r="A116" t="s">
        <v>315</v>
      </c>
      <c r="B116">
        <v>0</v>
      </c>
      <c r="C116" t="s">
        <v>316</v>
      </c>
    </row>
    <row r="117" spans="1:3" x14ac:dyDescent="0.25">
      <c r="A117" t="s">
        <v>317</v>
      </c>
      <c r="B117">
        <v>0</v>
      </c>
      <c r="C117" t="s">
        <v>318</v>
      </c>
    </row>
    <row r="118" spans="1:3" x14ac:dyDescent="0.25">
      <c r="A118" t="s">
        <v>319</v>
      </c>
      <c r="B118">
        <v>0</v>
      </c>
      <c r="C118" t="s">
        <v>320</v>
      </c>
    </row>
    <row r="119" spans="1:3" x14ac:dyDescent="0.25">
      <c r="A119" t="s">
        <v>321</v>
      </c>
      <c r="B119">
        <v>0</v>
      </c>
      <c r="C119" t="s">
        <v>322</v>
      </c>
    </row>
    <row r="120" spans="1:3" x14ac:dyDescent="0.25">
      <c r="A120" t="s">
        <v>323</v>
      </c>
      <c r="B120">
        <v>0</v>
      </c>
      <c r="C120" t="s">
        <v>324</v>
      </c>
    </row>
    <row r="121" spans="1:3" x14ac:dyDescent="0.25">
      <c r="A121" t="s">
        <v>325</v>
      </c>
      <c r="B121">
        <v>0</v>
      </c>
      <c r="C121" t="s">
        <v>326</v>
      </c>
    </row>
    <row r="122" spans="1:3" x14ac:dyDescent="0.25">
      <c r="A122" t="s">
        <v>327</v>
      </c>
      <c r="B122">
        <v>0</v>
      </c>
      <c r="C122" t="s">
        <v>328</v>
      </c>
    </row>
    <row r="123" spans="1:3" x14ac:dyDescent="0.25">
      <c r="A123" t="s">
        <v>329</v>
      </c>
      <c r="B123">
        <v>0</v>
      </c>
      <c r="C123" t="s">
        <v>330</v>
      </c>
    </row>
    <row r="124" spans="1:3" x14ac:dyDescent="0.25">
      <c r="A124" t="s">
        <v>331</v>
      </c>
      <c r="B124">
        <v>0</v>
      </c>
      <c r="C124" t="s">
        <v>332</v>
      </c>
    </row>
    <row r="125" spans="1:3" x14ac:dyDescent="0.25">
      <c r="A125" t="s">
        <v>333</v>
      </c>
      <c r="B125">
        <v>0</v>
      </c>
      <c r="C125" t="s">
        <v>334</v>
      </c>
    </row>
    <row r="126" spans="1:3" x14ac:dyDescent="0.25">
      <c r="A126" t="s">
        <v>335</v>
      </c>
      <c r="B126">
        <v>0</v>
      </c>
      <c r="C126" t="s">
        <v>336</v>
      </c>
    </row>
    <row r="127" spans="1:3" x14ac:dyDescent="0.25">
      <c r="A127" t="s">
        <v>337</v>
      </c>
      <c r="B127">
        <v>0</v>
      </c>
      <c r="C127" t="s">
        <v>338</v>
      </c>
    </row>
    <row r="128" spans="1:3" x14ac:dyDescent="0.25">
      <c r="A128" t="s">
        <v>339</v>
      </c>
      <c r="B128">
        <v>0</v>
      </c>
      <c r="C128" t="s">
        <v>340</v>
      </c>
    </row>
    <row r="129" spans="1:3" x14ac:dyDescent="0.25">
      <c r="A129" t="s">
        <v>341</v>
      </c>
      <c r="B129">
        <v>0</v>
      </c>
      <c r="C129" t="s">
        <v>342</v>
      </c>
    </row>
    <row r="130" spans="1:3" x14ac:dyDescent="0.25">
      <c r="A130" t="s">
        <v>343</v>
      </c>
      <c r="B130">
        <v>0</v>
      </c>
      <c r="C130" t="s">
        <v>344</v>
      </c>
    </row>
    <row r="131" spans="1:3" x14ac:dyDescent="0.25">
      <c r="A131" t="s">
        <v>345</v>
      </c>
      <c r="B131">
        <v>0</v>
      </c>
      <c r="C131" t="s">
        <v>346</v>
      </c>
    </row>
    <row r="132" spans="1:3" x14ac:dyDescent="0.25">
      <c r="A132" t="s">
        <v>347</v>
      </c>
      <c r="B132">
        <v>0</v>
      </c>
      <c r="C132" t="s">
        <v>348</v>
      </c>
    </row>
    <row r="133" spans="1:3" x14ac:dyDescent="0.25">
      <c r="A133" t="s">
        <v>349</v>
      </c>
      <c r="B133">
        <v>0</v>
      </c>
      <c r="C133" t="s">
        <v>350</v>
      </c>
    </row>
    <row r="134" spans="1:3" x14ac:dyDescent="0.25">
      <c r="A134" t="s">
        <v>351</v>
      </c>
      <c r="B134">
        <v>0</v>
      </c>
      <c r="C134" t="s">
        <v>352</v>
      </c>
    </row>
    <row r="135" spans="1:3" x14ac:dyDescent="0.25">
      <c r="A135" t="s">
        <v>353</v>
      </c>
      <c r="B135">
        <v>0</v>
      </c>
      <c r="C135" t="s">
        <v>354</v>
      </c>
    </row>
    <row r="136" spans="1:3" x14ac:dyDescent="0.25">
      <c r="A136" s="9" t="s">
        <v>355</v>
      </c>
      <c r="B136" s="9"/>
      <c r="C136" s="9"/>
    </row>
    <row r="137" spans="1:3" x14ac:dyDescent="0.25">
      <c r="A137" t="s">
        <v>356</v>
      </c>
      <c r="B137">
        <v>1</v>
      </c>
      <c r="C137" t="s">
        <v>357</v>
      </c>
    </row>
    <row r="138" spans="1:3" x14ac:dyDescent="0.25">
      <c r="A138" t="s">
        <v>358</v>
      </c>
      <c r="B138">
        <v>1</v>
      </c>
      <c r="C138" t="s">
        <v>359</v>
      </c>
    </row>
    <row r="139" spans="1:3" x14ac:dyDescent="0.25">
      <c r="A139" t="s">
        <v>360</v>
      </c>
      <c r="B139">
        <v>1</v>
      </c>
      <c r="C139" t="s">
        <v>361</v>
      </c>
    </row>
    <row r="140" spans="1:3" x14ac:dyDescent="0.25">
      <c r="A140" t="s">
        <v>362</v>
      </c>
      <c r="B140">
        <v>1</v>
      </c>
      <c r="C140" t="s">
        <v>363</v>
      </c>
    </row>
    <row r="141" spans="1:3" x14ac:dyDescent="0.25">
      <c r="A141" t="s">
        <v>364</v>
      </c>
      <c r="B141">
        <v>1</v>
      </c>
      <c r="C141" t="s">
        <v>365</v>
      </c>
    </row>
    <row r="142" spans="1:3" ht="15" customHeight="1" x14ac:dyDescent="0.25">
      <c r="A142" s="9" t="s">
        <v>407</v>
      </c>
      <c r="B142" s="9"/>
      <c r="C142" s="9"/>
    </row>
    <row r="143" spans="1:3" ht="15" customHeight="1" x14ac:dyDescent="0.25">
      <c r="A143" t="s">
        <v>408</v>
      </c>
      <c r="B143">
        <v>20</v>
      </c>
      <c r="C143" t="s">
        <v>357</v>
      </c>
    </row>
    <row r="144" spans="1:3" ht="15" customHeight="1" x14ac:dyDescent="0.25">
      <c r="A144" t="s">
        <v>409</v>
      </c>
      <c r="B144">
        <v>40</v>
      </c>
      <c r="C144" t="s">
        <v>359</v>
      </c>
    </row>
    <row r="145" spans="1:3" ht="15" customHeight="1" x14ac:dyDescent="0.25">
      <c r="A145" t="s">
        <v>410</v>
      </c>
      <c r="B145">
        <v>20</v>
      </c>
      <c r="C145" t="s">
        <v>361</v>
      </c>
    </row>
    <row r="146" spans="1:3" ht="15" customHeight="1" x14ac:dyDescent="0.25">
      <c r="A146" t="s">
        <v>411</v>
      </c>
      <c r="B146">
        <v>20</v>
      </c>
      <c r="C146" t="s">
        <v>363</v>
      </c>
    </row>
    <row r="147" spans="1:3" ht="15" customHeight="1" x14ac:dyDescent="0.25">
      <c r="A147" t="s">
        <v>412</v>
      </c>
      <c r="B147">
        <v>20</v>
      </c>
      <c r="C147" t="s">
        <v>365</v>
      </c>
    </row>
    <row r="148" spans="1:3" ht="15" customHeight="1" x14ac:dyDescent="0.25">
      <c r="A148" s="9" t="s">
        <v>413</v>
      </c>
      <c r="B148" s="9"/>
      <c r="C148" s="9"/>
    </row>
    <row r="149" spans="1:3" ht="15" customHeight="1" x14ac:dyDescent="0.25">
      <c r="A149" t="s">
        <v>419</v>
      </c>
      <c r="B149">
        <v>0.05</v>
      </c>
      <c r="C149" t="s">
        <v>414</v>
      </c>
    </row>
    <row r="150" spans="1:3" ht="15" customHeight="1" x14ac:dyDescent="0.25">
      <c r="A150" t="s">
        <v>420</v>
      </c>
      <c r="B150">
        <v>0.05</v>
      </c>
      <c r="C150" t="s">
        <v>415</v>
      </c>
    </row>
    <row r="151" spans="1:3" ht="15" customHeight="1" x14ac:dyDescent="0.25">
      <c r="A151" t="s">
        <v>421</v>
      </c>
      <c r="B151">
        <v>0.05</v>
      </c>
      <c r="C151" t="s">
        <v>416</v>
      </c>
    </row>
    <row r="152" spans="1:3" ht="15" customHeight="1" x14ac:dyDescent="0.25">
      <c r="A152" t="s">
        <v>422</v>
      </c>
      <c r="B152">
        <v>0.05</v>
      </c>
      <c r="C152" t="s">
        <v>417</v>
      </c>
    </row>
    <row r="153" spans="1:3" ht="15" customHeight="1" x14ac:dyDescent="0.25">
      <c r="A153" t="s">
        <v>423</v>
      </c>
      <c r="B153">
        <v>0.05</v>
      </c>
      <c r="C153" t="s">
        <v>418</v>
      </c>
    </row>
  </sheetData>
  <mergeCells count="18">
    <mergeCell ref="A16:C16"/>
    <mergeCell ref="A22:C22"/>
    <mergeCell ref="A28:C28"/>
    <mergeCell ref="A34:C34"/>
    <mergeCell ref="A40:C40"/>
    <mergeCell ref="A46:C46"/>
    <mergeCell ref="A52:C52"/>
    <mergeCell ref="A58:C58"/>
    <mergeCell ref="A64:C64"/>
    <mergeCell ref="A70:C70"/>
    <mergeCell ref="A142:C142"/>
    <mergeCell ref="A148:C148"/>
    <mergeCell ref="A136:C136"/>
    <mergeCell ref="A76:C76"/>
    <mergeCell ref="A82:C82"/>
    <mergeCell ref="A88:C88"/>
    <mergeCell ref="A94:C94"/>
    <mergeCell ref="A115:C11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BA5D-998C-46D9-8567-1EB15A7A28B8}">
  <dimension ref="A1:AH25"/>
  <sheetViews>
    <sheetView zoomScale="115" zoomScaleNormal="115" workbookViewId="0">
      <selection activeCell="S2" sqref="S2"/>
    </sheetView>
  </sheetViews>
  <sheetFormatPr defaultColWidth="8.5703125" defaultRowHeight="15" customHeight="1" x14ac:dyDescent="0.25"/>
  <cols>
    <col min="1" max="1" width="5.42578125" customWidth="1"/>
    <col min="2" max="2" width="8.7109375" customWidth="1"/>
    <col min="3" max="7" width="7" customWidth="1"/>
    <col min="8" max="9" width="7.42578125" customWidth="1"/>
    <col min="10" max="10" width="8.42578125" bestFit="1" customWidth="1"/>
    <col min="11" max="16" width="7.42578125" customWidth="1"/>
  </cols>
  <sheetData>
    <row r="1" spans="1:34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398</v>
      </c>
      <c r="S1" s="1" t="s">
        <v>397</v>
      </c>
      <c r="T1" s="6" t="s">
        <v>385</v>
      </c>
      <c r="U1" s="6" t="s">
        <v>384</v>
      </c>
      <c r="V1" s="6" t="s">
        <v>386</v>
      </c>
      <c r="W1" s="6" t="s">
        <v>387</v>
      </c>
      <c r="X1" s="6" t="s">
        <v>388</v>
      </c>
      <c r="Y1" s="6" t="s">
        <v>389</v>
      </c>
      <c r="Z1" s="6" t="s">
        <v>390</v>
      </c>
      <c r="AA1" s="6" t="s">
        <v>391</v>
      </c>
      <c r="AB1" s="6" t="s">
        <v>400</v>
      </c>
      <c r="AC1" s="6" t="s">
        <v>401</v>
      </c>
      <c r="AD1" s="6" t="s">
        <v>402</v>
      </c>
      <c r="AE1" s="6" t="s">
        <v>403</v>
      </c>
      <c r="AF1" s="6" t="s">
        <v>404</v>
      </c>
      <c r="AG1" s="6" t="s">
        <v>405</v>
      </c>
      <c r="AH1" s="6" t="s">
        <v>406</v>
      </c>
    </row>
    <row r="2" spans="1:34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f>AD3/AD2*U2</f>
        <v>0.99</v>
      </c>
      <c r="I2">
        <v>0.99</v>
      </c>
      <c r="J2">
        <f>AE3/AE2*U2</f>
        <v>1.0175000000000001</v>
      </c>
      <c r="K2">
        <v>1</v>
      </c>
      <c r="L2">
        <f>AF3/AF2*U2</f>
        <v>1.1220000000000001</v>
      </c>
      <c r="M2">
        <v>1</v>
      </c>
      <c r="N2">
        <f>AG3/AG2*U2</f>
        <v>1.089</v>
      </c>
      <c r="O2">
        <f>N2</f>
        <v>1.089</v>
      </c>
      <c r="P2">
        <f>AH3/AH2*U2</f>
        <v>1.1783437024323271</v>
      </c>
      <c r="Q2">
        <v>1</v>
      </c>
      <c r="R2">
        <f t="shared" ref="R2:R25" si="0">LN(S2)</f>
        <v>4.8790164169432049E-2</v>
      </c>
      <c r="S2">
        <v>1.05</v>
      </c>
      <c r="T2">
        <v>1.1000000000000001</v>
      </c>
      <c r="U2">
        <f>T2</f>
        <v>1.1000000000000001</v>
      </c>
      <c r="V2">
        <f>Start!$B28*Start!$B$4</f>
        <v>6.5254233777523041E-2</v>
      </c>
      <c r="W2">
        <f>Start!$B29*Start!$B$4</f>
        <v>9.1500000000000001E-4</v>
      </c>
      <c r="X2">
        <f>Start!$B30*Start!$B$4</f>
        <v>1.35E-4</v>
      </c>
      <c r="Y2">
        <f>Start!$B31*Start!$B$4</f>
        <v>3.36957647323608E-2</v>
      </c>
      <c r="Z2">
        <f>Start!$B32*Start!$B$4</f>
        <v>5.0000001490116151E-2</v>
      </c>
      <c r="AA2">
        <f>SUM(V2:Z2)</f>
        <v>0.15</v>
      </c>
      <c r="AB2">
        <f>(0.002+0.00025*A2)*T2*5/S2</f>
        <v>1.3095238095238096E-2</v>
      </c>
      <c r="AC2">
        <f>R2*0.5</f>
        <v>2.4395082084716024E-2</v>
      </c>
      <c r="AD2">
        <f>Start!B22/SUM(Start!$B$22:$B$26)</f>
        <v>0.15194371733245024</v>
      </c>
      <c r="AE2">
        <f>Start!B23/SUM(Start!$B$22:$B$26)</f>
        <v>7.1498005559439012E-2</v>
      </c>
      <c r="AF2">
        <f>Start!B24/SUM(Start!$B$22:$B$26)</f>
        <v>1.7874501389859753E-2</v>
      </c>
      <c r="AG2">
        <f>Start!B25/SUM(Start!$B$22:$B$26)</f>
        <v>0.41658157897194531</v>
      </c>
      <c r="AH2">
        <f>Start!B26/SUM(Start!$B$22:$B$26)</f>
        <v>0.34210219674630554</v>
      </c>
    </row>
    <row r="3" spans="1:34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f t="shared" ref="H3:H24" si="1">AD4/AD3*U3</f>
        <v>0.9900000000000001</v>
      </c>
      <c r="I3">
        <f t="shared" ref="I3:I24" si="2">V3/V2</f>
        <v>0.9</v>
      </c>
      <c r="J3">
        <f t="shared" ref="J3:J24" si="3">AE4/AE3*U3</f>
        <v>1.0175000000000001</v>
      </c>
      <c r="K3">
        <v>1</v>
      </c>
      <c r="L3">
        <f t="shared" ref="L3:L24" si="4">AF4/AF3*U3</f>
        <v>1.1220000000000001</v>
      </c>
      <c r="M3">
        <f t="shared" ref="M3:M24" si="5">(X3/X2)</f>
        <v>1.1220000000000001</v>
      </c>
      <c r="N3">
        <f t="shared" ref="N3:N24" si="6">AG4/AG3*U3</f>
        <v>1.089</v>
      </c>
      <c r="O3">
        <f t="shared" ref="O3:O24" si="7">(Y3/Y2)</f>
        <v>0.98999999999999988</v>
      </c>
      <c r="P3">
        <f t="shared" ref="P3:P24" si="8">AH4/AH3*U3</f>
        <v>1.167220439229006</v>
      </c>
      <c r="Q3">
        <f t="shared" ref="Q3:Q24" si="9">Z3/Z2</f>
        <v>1.1369182164210374</v>
      </c>
      <c r="R3">
        <f t="shared" si="0"/>
        <v>8.8010877322713371E-2</v>
      </c>
      <c r="S3">
        <f>MAX(0.5,S2*(1.05-0.01*($A3-$A$2)))</f>
        <v>1.0920000000000001</v>
      </c>
      <c r="T3">
        <f>T2*1.1</f>
        <v>1.2100000000000002</v>
      </c>
      <c r="U3">
        <f t="shared" ref="U3:U25" si="10">T3/T2</f>
        <v>1.1000000000000001</v>
      </c>
      <c r="V3">
        <f t="shared" ref="V3:V25" si="11">MAX(0.001,V2*0.9)</f>
        <v>5.8728810399770737E-2</v>
      </c>
      <c r="W3">
        <f t="shared" ref="W3:W25" si="12">W2</f>
        <v>9.1500000000000001E-4</v>
      </c>
      <c r="X3">
        <f t="shared" ref="X3:X25" si="13">L3*X2</f>
        <v>1.5147000000000001E-4</v>
      </c>
      <c r="Y3">
        <f t="shared" ref="Y3:Y25" si="14">N3/U3*Y2</f>
        <v>3.335880708503719E-2</v>
      </c>
      <c r="Z3">
        <f t="shared" ref="Z3:Z25" si="15">AA3-SUM(V3:Y3)</f>
        <v>5.6845912515192068E-2</v>
      </c>
      <c r="AA3">
        <f t="shared" ref="AA3:AA25" si="16">AA2</f>
        <v>0.15</v>
      </c>
      <c r="AB3">
        <f t="shared" ref="AB3:AB25" si="17">(0.002+0.00025*A3)*T3*5/S3</f>
        <v>1.5235805860805859E-2</v>
      </c>
      <c r="AC3">
        <f t="shared" ref="AC3:AC25" si="18">R3*0.5</f>
        <v>4.4005438661356686E-2</v>
      </c>
      <c r="AD3">
        <f>MAX(0.01,AD2*0.9)</f>
        <v>0.13674934559920521</v>
      </c>
      <c r="AE3">
        <f>MAX(0.005,AE2*0.925)</f>
        <v>6.6135655142481084E-2</v>
      </c>
      <c r="AF3">
        <f>MIN(0.05,AF2*1.02)</f>
        <v>1.823199141765695E-2</v>
      </c>
      <c r="AG3">
        <f>MAX(0.3,AG2*0.99)</f>
        <v>0.41241576318222584</v>
      </c>
      <c r="AH3">
        <f>1-SUM(AD3:AG3)</f>
        <v>0.36646724465843095</v>
      </c>
    </row>
    <row r="4" spans="1:34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f t="shared" si="1"/>
        <v>0.9900000000000001</v>
      </c>
      <c r="I4">
        <f t="shared" si="2"/>
        <v>0.9</v>
      </c>
      <c r="J4">
        <f t="shared" si="3"/>
        <v>1.0175000000000001</v>
      </c>
      <c r="K4">
        <v>1</v>
      </c>
      <c r="L4">
        <f t="shared" si="4"/>
        <v>1.1220000000000001</v>
      </c>
      <c r="M4">
        <f t="shared" si="5"/>
        <v>1.1220000000000001</v>
      </c>
      <c r="N4">
        <f t="shared" si="6"/>
        <v>1.089</v>
      </c>
      <c r="O4">
        <f t="shared" si="7"/>
        <v>0.98999999999999988</v>
      </c>
      <c r="P4">
        <f t="shared" si="8"/>
        <v>1.1582912490328547</v>
      </c>
      <c r="Q4">
        <f t="shared" si="9"/>
        <v>1.1088554919260678</v>
      </c>
      <c r="R4">
        <f t="shared" si="0"/>
        <v>0.11756967956425789</v>
      </c>
      <c r="S4">
        <f t="shared" ref="S4:S25" si="19">MAX(0.5,S3*(1.05-0.01*($A4-$A$2)))</f>
        <v>1.1247600000000002</v>
      </c>
      <c r="T4">
        <f t="shared" ref="T4:T6" si="20">T3*1.1</f>
        <v>1.3310000000000004</v>
      </c>
      <c r="U4">
        <f t="shared" si="10"/>
        <v>1.1000000000000001</v>
      </c>
      <c r="V4">
        <f t="shared" si="11"/>
        <v>5.2855929359793663E-2</v>
      </c>
      <c r="W4">
        <f t="shared" si="12"/>
        <v>9.1500000000000001E-4</v>
      </c>
      <c r="X4">
        <f t="shared" si="13"/>
        <v>1.6994934000000002E-4</v>
      </c>
      <c r="Y4">
        <f t="shared" si="14"/>
        <v>3.3025219014186813E-2</v>
      </c>
      <c r="Z4">
        <f t="shared" si="15"/>
        <v>6.3033902286019516E-2</v>
      </c>
      <c r="AA4">
        <f t="shared" si="16"/>
        <v>0.15</v>
      </c>
      <c r="AB4">
        <f t="shared" si="17"/>
        <v>1.775045343006508E-2</v>
      </c>
      <c r="AC4">
        <f t="shared" si="18"/>
        <v>5.8784839782128943E-2</v>
      </c>
      <c r="AD4">
        <f t="shared" ref="AD4:AD25" si="21">MAX(0.01,AD3*0.9)</f>
        <v>0.1230744110392847</v>
      </c>
      <c r="AE4">
        <f t="shared" ref="AE4:AE25" si="22">MAX(0.005,AE3*0.925)</f>
        <v>6.1175481006795006E-2</v>
      </c>
      <c r="AF4">
        <f t="shared" ref="AF4:AF25" si="23">MIN(0.05,AF3*1.02)</f>
        <v>1.859663124601009E-2</v>
      </c>
      <c r="AG4">
        <f t="shared" ref="AG4:AG25" si="24">MAX(0.3,AG3*0.99)</f>
        <v>0.40829160555040356</v>
      </c>
      <c r="AH4">
        <f t="shared" ref="AH4:AH25" si="25">1-SUM(AD4:AG4)</f>
        <v>0.3888618711575067</v>
      </c>
    </row>
    <row r="5" spans="1:34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f t="shared" si="1"/>
        <v>0.9900000000000001</v>
      </c>
      <c r="I5">
        <f t="shared" si="2"/>
        <v>0.90000000000000013</v>
      </c>
      <c r="J5">
        <f t="shared" si="3"/>
        <v>1.0175000000000001</v>
      </c>
      <c r="K5">
        <v>1</v>
      </c>
      <c r="L5">
        <f t="shared" si="4"/>
        <v>1.1220000000000001</v>
      </c>
      <c r="M5">
        <f t="shared" si="5"/>
        <v>1.1220000000000001</v>
      </c>
      <c r="N5">
        <f t="shared" si="6"/>
        <v>1.089</v>
      </c>
      <c r="O5">
        <f t="shared" si="7"/>
        <v>0.98999999999999988</v>
      </c>
      <c r="P5">
        <f t="shared" si="8"/>
        <v>1.1509973538165823</v>
      </c>
      <c r="Q5">
        <f t="shared" si="9"/>
        <v>1.0887635241310798</v>
      </c>
      <c r="R5">
        <f t="shared" si="0"/>
        <v>0.13737230686043764</v>
      </c>
      <c r="S5">
        <f t="shared" si="19"/>
        <v>1.1472552000000003</v>
      </c>
      <c r="T5">
        <f t="shared" si="20"/>
        <v>1.4641000000000006</v>
      </c>
      <c r="U5">
        <f t="shared" si="10"/>
        <v>1.1000000000000001</v>
      </c>
      <c r="V5">
        <f t="shared" si="11"/>
        <v>4.7570336423814301E-2</v>
      </c>
      <c r="W5">
        <f t="shared" si="12"/>
        <v>9.1500000000000001E-4</v>
      </c>
      <c r="X5">
        <f t="shared" si="13"/>
        <v>1.9068315948000004E-4</v>
      </c>
      <c r="Y5">
        <f t="shared" si="14"/>
        <v>3.2694966824044942E-2</v>
      </c>
      <c r="Z5">
        <f t="shared" si="15"/>
        <v>6.8629013592660743E-2</v>
      </c>
      <c r="AA5">
        <f t="shared" si="16"/>
        <v>0.15</v>
      </c>
      <c r="AB5">
        <f t="shared" si="17"/>
        <v>2.0737866343948589E-2</v>
      </c>
      <c r="AC5">
        <f t="shared" si="18"/>
        <v>6.8686153430218819E-2</v>
      </c>
      <c r="AD5">
        <f t="shared" si="21"/>
        <v>0.11076696993535623</v>
      </c>
      <c r="AE5">
        <f t="shared" si="22"/>
        <v>5.6587319931285386E-2</v>
      </c>
      <c r="AF5">
        <f t="shared" si="23"/>
        <v>1.896856387093029E-2</v>
      </c>
      <c r="AG5">
        <f t="shared" si="24"/>
        <v>0.40420868949489952</v>
      </c>
      <c r="AH5">
        <f t="shared" si="25"/>
        <v>0.40946845676752863</v>
      </c>
    </row>
    <row r="6" spans="1:34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f t="shared" si="1"/>
        <v>0.9900000000000001</v>
      </c>
      <c r="I6">
        <f t="shared" si="2"/>
        <v>0.9</v>
      </c>
      <c r="J6">
        <f t="shared" si="3"/>
        <v>1.0175000000000001</v>
      </c>
      <c r="K6">
        <v>1</v>
      </c>
      <c r="L6">
        <f t="shared" si="4"/>
        <v>1.1220000000000001</v>
      </c>
      <c r="M6">
        <f t="shared" si="5"/>
        <v>1.1220000000000001</v>
      </c>
      <c r="N6">
        <f t="shared" si="6"/>
        <v>1.089</v>
      </c>
      <c r="O6">
        <f t="shared" si="7"/>
        <v>0.98999999999999977</v>
      </c>
      <c r="P6">
        <f t="shared" si="8"/>
        <v>1.144953534119562</v>
      </c>
      <c r="Q6">
        <f t="shared" si="9"/>
        <v>1.0737402404645158</v>
      </c>
      <c r="R6">
        <f t="shared" si="0"/>
        <v>0.14732263771360579</v>
      </c>
      <c r="S6">
        <f t="shared" si="19"/>
        <v>1.1587277520000003</v>
      </c>
      <c r="T6">
        <f t="shared" si="20"/>
        <v>1.6105100000000008</v>
      </c>
      <c r="U6">
        <f t="shared" si="10"/>
        <v>1.1000000000000001</v>
      </c>
      <c r="V6">
        <f t="shared" si="11"/>
        <v>4.2813302781432874E-2</v>
      </c>
      <c r="W6">
        <f t="shared" si="12"/>
        <v>9.1500000000000001E-4</v>
      </c>
      <c r="X6">
        <f t="shared" si="13"/>
        <v>2.1394650493656005E-4</v>
      </c>
      <c r="Y6">
        <f t="shared" si="14"/>
        <v>3.2368017155804486E-2</v>
      </c>
      <c r="Z6">
        <f t="shared" si="15"/>
        <v>7.368973355782607E-2</v>
      </c>
      <c r="AA6">
        <f t="shared" si="16"/>
        <v>0.15</v>
      </c>
      <c r="AB6">
        <f t="shared" si="17"/>
        <v>2.4323163876375342E-2</v>
      </c>
      <c r="AC6">
        <f t="shared" si="18"/>
        <v>7.3661318856802896E-2</v>
      </c>
      <c r="AD6">
        <f t="shared" si="21"/>
        <v>9.9690272941820604E-2</v>
      </c>
      <c r="AE6">
        <f t="shared" si="22"/>
        <v>5.2343270936438986E-2</v>
      </c>
      <c r="AF6">
        <f t="shared" si="23"/>
        <v>1.9347935148348896E-2</v>
      </c>
      <c r="AG6">
        <f t="shared" si="24"/>
        <v>0.40016660259995052</v>
      </c>
      <c r="AH6">
        <f t="shared" si="25"/>
        <v>0.42845191837344099</v>
      </c>
    </row>
    <row r="7" spans="1:34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f t="shared" si="1"/>
        <v>0.96749999999999992</v>
      </c>
      <c r="I7">
        <f t="shared" si="2"/>
        <v>0.9</v>
      </c>
      <c r="J7">
        <f t="shared" si="3"/>
        <v>0.99437500000000001</v>
      </c>
      <c r="K7">
        <v>1</v>
      </c>
      <c r="L7">
        <f t="shared" si="4"/>
        <v>1.0965</v>
      </c>
      <c r="M7">
        <f t="shared" si="5"/>
        <v>1.0965</v>
      </c>
      <c r="N7">
        <f t="shared" si="6"/>
        <v>1.0642499999999999</v>
      </c>
      <c r="O7">
        <f t="shared" si="7"/>
        <v>0.99</v>
      </c>
      <c r="P7">
        <f t="shared" si="8"/>
        <v>1.1139790906256337</v>
      </c>
      <c r="Q7">
        <f t="shared" si="9"/>
        <v>1.0622117137711931</v>
      </c>
      <c r="R7">
        <f t="shared" si="0"/>
        <v>0.14732263771360579</v>
      </c>
      <c r="S7">
        <f t="shared" si="19"/>
        <v>1.1587277520000003</v>
      </c>
      <c r="T7">
        <f>T6*1.075</f>
        <v>1.7312982500000007</v>
      </c>
      <c r="U7">
        <f t="shared" si="10"/>
        <v>1.075</v>
      </c>
      <c r="V7">
        <f t="shared" si="11"/>
        <v>3.8531972503289588E-2</v>
      </c>
      <c r="W7">
        <f t="shared" si="12"/>
        <v>9.1500000000000001E-4</v>
      </c>
      <c r="X7">
        <f t="shared" si="13"/>
        <v>2.3459234266293811E-4</v>
      </c>
      <c r="Y7">
        <f t="shared" si="14"/>
        <v>3.2044336984246441E-2</v>
      </c>
      <c r="Z7">
        <f t="shared" si="15"/>
        <v>7.8274098169801021E-2</v>
      </c>
      <c r="AA7">
        <f t="shared" si="16"/>
        <v>0.15</v>
      </c>
      <c r="AB7">
        <f t="shared" si="17"/>
        <v>2.8015072679039455E-2</v>
      </c>
      <c r="AC7">
        <f t="shared" si="18"/>
        <v>7.3661318856802896E-2</v>
      </c>
      <c r="AD7">
        <f t="shared" si="21"/>
        <v>8.9721245647638545E-2</v>
      </c>
      <c r="AE7">
        <f t="shared" si="22"/>
        <v>4.8417525616206061E-2</v>
      </c>
      <c r="AF7">
        <f t="shared" si="23"/>
        <v>1.9734893851315875E-2</v>
      </c>
      <c r="AG7">
        <f t="shared" si="24"/>
        <v>0.39616493657395102</v>
      </c>
      <c r="AH7">
        <f t="shared" si="25"/>
        <v>0.44596139831088855</v>
      </c>
    </row>
    <row r="8" spans="1:34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f t="shared" si="1"/>
        <v>0.96750000000000003</v>
      </c>
      <c r="I8">
        <f t="shared" si="2"/>
        <v>0.90000000000000013</v>
      </c>
      <c r="J8">
        <f t="shared" si="3"/>
        <v>0.99437500000000001</v>
      </c>
      <c r="K8">
        <v>1</v>
      </c>
      <c r="L8">
        <f t="shared" si="4"/>
        <v>1.0965</v>
      </c>
      <c r="M8">
        <f t="shared" si="5"/>
        <v>1.0965</v>
      </c>
      <c r="N8">
        <f t="shared" si="6"/>
        <v>1.0642500000000001</v>
      </c>
      <c r="O8">
        <f t="shared" si="7"/>
        <v>0.99000000000000021</v>
      </c>
      <c r="P8">
        <f t="shared" si="8"/>
        <v>1.1097840557594543</v>
      </c>
      <c r="Q8">
        <f t="shared" si="9"/>
        <v>1.0530316229271608</v>
      </c>
      <c r="R8">
        <f t="shared" si="0"/>
        <v>0.13727230186010425</v>
      </c>
      <c r="S8">
        <f t="shared" si="19"/>
        <v>1.1471404744800002</v>
      </c>
      <c r="T8">
        <f t="shared" ref="T8:T25" si="26">T7*1.075</f>
        <v>1.8611456187500006</v>
      </c>
      <c r="U8">
        <f t="shared" si="10"/>
        <v>1.075</v>
      </c>
      <c r="V8">
        <f t="shared" si="11"/>
        <v>3.4678775252960634E-2</v>
      </c>
      <c r="W8">
        <f t="shared" si="12"/>
        <v>9.1500000000000001E-4</v>
      </c>
      <c r="X8">
        <f t="shared" si="13"/>
        <v>2.5723050372991163E-4</v>
      </c>
      <c r="Y8">
        <f t="shared" si="14"/>
        <v>3.1723893614403982E-2</v>
      </c>
      <c r="Z8">
        <f t="shared" si="15"/>
        <v>8.2425100628905471E-2</v>
      </c>
      <c r="AA8">
        <f t="shared" si="16"/>
        <v>0.15</v>
      </c>
      <c r="AB8">
        <f t="shared" si="17"/>
        <v>3.2448434348786442E-2</v>
      </c>
      <c r="AC8">
        <f t="shared" si="18"/>
        <v>6.8636150930052126E-2</v>
      </c>
      <c r="AD8">
        <f t="shared" si="21"/>
        <v>8.0749121082874686E-2</v>
      </c>
      <c r="AE8">
        <f t="shared" si="22"/>
        <v>4.4786211194990606E-2</v>
      </c>
      <c r="AF8">
        <f t="shared" si="23"/>
        <v>2.0129591728342194E-2</v>
      </c>
      <c r="AG8">
        <f t="shared" si="24"/>
        <v>0.39220328720821152</v>
      </c>
      <c r="AH8">
        <f t="shared" si="25"/>
        <v>0.46213178878558103</v>
      </c>
    </row>
    <row r="9" spans="1:34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f t="shared" si="1"/>
        <v>0.96750000000000014</v>
      </c>
      <c r="I9">
        <f t="shared" si="2"/>
        <v>0.9</v>
      </c>
      <c r="J9">
        <f t="shared" si="3"/>
        <v>0.99437500000000001</v>
      </c>
      <c r="K9">
        <v>1</v>
      </c>
      <c r="L9">
        <f t="shared" si="4"/>
        <v>1.0965</v>
      </c>
      <c r="M9">
        <f t="shared" si="5"/>
        <v>1.0965</v>
      </c>
      <c r="N9">
        <f t="shared" si="6"/>
        <v>1.0642499999999999</v>
      </c>
      <c r="O9">
        <f t="shared" si="7"/>
        <v>0.99</v>
      </c>
      <c r="P9">
        <f t="shared" si="8"/>
        <v>1.1062001578263474</v>
      </c>
      <c r="Q9">
        <f t="shared" si="9"/>
        <v>1.0456207355421958</v>
      </c>
      <c r="R9">
        <f t="shared" si="0"/>
        <v>0.11706959454258478</v>
      </c>
      <c r="S9">
        <f t="shared" si="19"/>
        <v>1.1241976649904002</v>
      </c>
      <c r="T9">
        <f t="shared" si="26"/>
        <v>2.0007315401562504</v>
      </c>
      <c r="U9">
        <f t="shared" si="10"/>
        <v>1.075</v>
      </c>
      <c r="V9">
        <f t="shared" si="11"/>
        <v>3.1210897727664572E-2</v>
      </c>
      <c r="W9">
        <f t="shared" si="12"/>
        <v>9.1500000000000001E-4</v>
      </c>
      <c r="X9">
        <f t="shared" si="13"/>
        <v>2.8205324733984808E-4</v>
      </c>
      <c r="Y9">
        <f t="shared" si="14"/>
        <v>3.140665467825994E-2</v>
      </c>
      <c r="Z9">
        <f t="shared" si="15"/>
        <v>8.6185394346735639E-2</v>
      </c>
      <c r="AA9">
        <f t="shared" si="16"/>
        <v>0.15</v>
      </c>
      <c r="AB9">
        <f t="shared" si="17"/>
        <v>3.7818567456892355E-2</v>
      </c>
      <c r="AC9">
        <f t="shared" si="18"/>
        <v>5.8534797271292391E-2</v>
      </c>
      <c r="AD9">
        <f t="shared" si="21"/>
        <v>7.2674208974587221E-2</v>
      </c>
      <c r="AE9">
        <f t="shared" si="22"/>
        <v>4.1427245355366314E-2</v>
      </c>
      <c r="AF9">
        <f t="shared" si="23"/>
        <v>2.0532183562909038E-2</v>
      </c>
      <c r="AG9">
        <f t="shared" si="24"/>
        <v>0.38828125433612942</v>
      </c>
      <c r="AH9">
        <f t="shared" si="25"/>
        <v>0.47708510777100799</v>
      </c>
    </row>
    <row r="10" spans="1:34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f t="shared" si="1"/>
        <v>0.96750000000000003</v>
      </c>
      <c r="I10">
        <f t="shared" si="2"/>
        <v>0.9</v>
      </c>
      <c r="J10">
        <f t="shared" si="3"/>
        <v>0.9943749999999999</v>
      </c>
      <c r="K10">
        <v>1</v>
      </c>
      <c r="L10">
        <f t="shared" si="4"/>
        <v>1.0965</v>
      </c>
      <c r="M10">
        <f t="shared" si="5"/>
        <v>1.0965</v>
      </c>
      <c r="N10">
        <f t="shared" si="6"/>
        <v>1.0642500000000001</v>
      </c>
      <c r="O10">
        <f t="shared" si="7"/>
        <v>0.99000000000000021</v>
      </c>
      <c r="P10">
        <f t="shared" si="8"/>
        <v>1.1031155348359754</v>
      </c>
      <c r="Q10">
        <f t="shared" si="9"/>
        <v>1.0395419456743464</v>
      </c>
      <c r="R10">
        <f t="shared" si="0"/>
        <v>8.6610387057876326E-2</v>
      </c>
      <c r="S10">
        <f t="shared" si="19"/>
        <v>1.0904717350406883</v>
      </c>
      <c r="T10">
        <f t="shared" si="26"/>
        <v>2.1507864056679691</v>
      </c>
      <c r="U10">
        <f t="shared" si="10"/>
        <v>1.075</v>
      </c>
      <c r="V10">
        <f t="shared" si="11"/>
        <v>2.8089807954898117E-2</v>
      </c>
      <c r="W10">
        <f t="shared" si="12"/>
        <v>9.1500000000000001E-4</v>
      </c>
      <c r="X10">
        <f t="shared" si="13"/>
        <v>3.0927138570814344E-4</v>
      </c>
      <c r="Y10">
        <f t="shared" si="14"/>
        <v>3.1092588131477347E-2</v>
      </c>
      <c r="Z10">
        <f t="shared" si="15"/>
        <v>8.9593332527916389E-2</v>
      </c>
      <c r="AA10">
        <f t="shared" si="16"/>
        <v>0.15</v>
      </c>
      <c r="AB10">
        <f t="shared" si="17"/>
        <v>4.4377761084952512E-2</v>
      </c>
      <c r="AC10">
        <f t="shared" si="18"/>
        <v>4.3305193528938163E-2</v>
      </c>
      <c r="AD10">
        <f t="shared" si="21"/>
        <v>6.5406788077128505E-2</v>
      </c>
      <c r="AE10">
        <f t="shared" si="22"/>
        <v>3.8320201953713842E-2</v>
      </c>
      <c r="AF10">
        <f t="shared" si="23"/>
        <v>2.0942827234167218E-2</v>
      </c>
      <c r="AG10">
        <f t="shared" si="24"/>
        <v>0.38439844179276811</v>
      </c>
      <c r="AH10">
        <f t="shared" si="25"/>
        <v>0.49093174094222236</v>
      </c>
    </row>
    <row r="11" spans="1:34" ht="15" customHeight="1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f t="shared" si="1"/>
        <v>0.96750000000000003</v>
      </c>
      <c r="I11">
        <f t="shared" si="2"/>
        <v>0.9</v>
      </c>
      <c r="J11">
        <f t="shared" si="3"/>
        <v>0.99437500000000001</v>
      </c>
      <c r="K11">
        <v>1</v>
      </c>
      <c r="L11">
        <f t="shared" si="4"/>
        <v>1.0965</v>
      </c>
      <c r="M11">
        <f t="shared" si="5"/>
        <v>1.0965</v>
      </c>
      <c r="N11">
        <f t="shared" si="6"/>
        <v>1.0642499999999999</v>
      </c>
      <c r="O11">
        <f t="shared" si="7"/>
        <v>0.99</v>
      </c>
      <c r="P11">
        <f t="shared" si="8"/>
        <v>1.1004433571098278</v>
      </c>
      <c r="Q11">
        <f t="shared" si="9"/>
        <v>1.0344898654944095</v>
      </c>
      <c r="R11">
        <f t="shared" si="0"/>
        <v>4.5788392537621209E-2</v>
      </c>
      <c r="S11">
        <f t="shared" si="19"/>
        <v>1.0468528656390608</v>
      </c>
      <c r="T11">
        <f t="shared" si="26"/>
        <v>2.3120953860930666</v>
      </c>
      <c r="U11">
        <f t="shared" si="10"/>
        <v>1.075</v>
      </c>
      <c r="V11">
        <f t="shared" si="11"/>
        <v>2.5280827159408305E-2</v>
      </c>
      <c r="W11">
        <f t="shared" si="12"/>
        <v>9.1500000000000001E-4</v>
      </c>
      <c r="X11">
        <f t="shared" si="13"/>
        <v>3.3911607442897929E-4</v>
      </c>
      <c r="Y11">
        <f t="shared" si="14"/>
        <v>3.0781662250162573E-2</v>
      </c>
      <c r="Z11">
        <f t="shared" si="15"/>
        <v>9.2683394516000134E-2</v>
      </c>
      <c r="AA11">
        <f t="shared" si="16"/>
        <v>0.15</v>
      </c>
      <c r="AB11">
        <f t="shared" si="17"/>
        <v>5.2454616328712671E-2</v>
      </c>
      <c r="AC11">
        <f t="shared" si="18"/>
        <v>2.2894196268810604E-2</v>
      </c>
      <c r="AD11">
        <f t="shared" si="21"/>
        <v>5.8866109269415656E-2</v>
      </c>
      <c r="AE11">
        <f t="shared" si="22"/>
        <v>3.5446186807185302E-2</v>
      </c>
      <c r="AF11">
        <f t="shared" si="23"/>
        <v>2.1361683778850563E-2</v>
      </c>
      <c r="AG11">
        <f t="shared" si="24"/>
        <v>0.38055445737484045</v>
      </c>
      <c r="AH11">
        <f t="shared" si="25"/>
        <v>0.50377156276970803</v>
      </c>
    </row>
    <row r="12" spans="1:34" ht="15" customHeight="1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f t="shared" si="1"/>
        <v>0.96750000000000003</v>
      </c>
      <c r="I12">
        <f t="shared" si="2"/>
        <v>0.90000000000000013</v>
      </c>
      <c r="J12">
        <f t="shared" si="3"/>
        <v>0.99437500000000001</v>
      </c>
      <c r="K12">
        <v>1</v>
      </c>
      <c r="L12">
        <f t="shared" si="4"/>
        <v>1.0965</v>
      </c>
      <c r="M12">
        <f t="shared" si="5"/>
        <v>1.0965</v>
      </c>
      <c r="N12">
        <f t="shared" si="6"/>
        <v>1.0642499999999999</v>
      </c>
      <c r="O12">
        <f t="shared" si="7"/>
        <v>0.99</v>
      </c>
      <c r="P12">
        <f t="shared" si="8"/>
        <v>1.0981152066582667</v>
      </c>
      <c r="Q12">
        <f t="shared" si="9"/>
        <v>1.0302446263637457</v>
      </c>
      <c r="R12">
        <f t="shared" si="0"/>
        <v>-5.5049018499292116E-3</v>
      </c>
      <c r="S12">
        <f t="shared" si="19"/>
        <v>0.99451022235710784</v>
      </c>
      <c r="T12">
        <f t="shared" si="26"/>
        <v>2.4855025400500463</v>
      </c>
      <c r="U12">
        <f t="shared" si="10"/>
        <v>1.075</v>
      </c>
      <c r="V12">
        <f t="shared" si="11"/>
        <v>2.2752744443467476E-2</v>
      </c>
      <c r="W12">
        <f t="shared" si="12"/>
        <v>9.1500000000000001E-4</v>
      </c>
      <c r="X12">
        <f t="shared" si="13"/>
        <v>3.7184077561137582E-4</v>
      </c>
      <c r="Y12">
        <f t="shared" si="14"/>
        <v>3.0473845627660947E-2</v>
      </c>
      <c r="Z12">
        <f t="shared" si="15"/>
        <v>9.5486569153260203E-2</v>
      </c>
      <c r="AA12">
        <f t="shared" si="16"/>
        <v>0.15</v>
      </c>
      <c r="AB12">
        <f t="shared" si="17"/>
        <v>6.2480567926167442E-2</v>
      </c>
      <c r="AC12">
        <f t="shared" si="18"/>
        <v>-2.7524509249646058E-3</v>
      </c>
      <c r="AD12">
        <f t="shared" si="21"/>
        <v>5.2979498342474091E-2</v>
      </c>
      <c r="AE12">
        <f t="shared" si="22"/>
        <v>3.2787722796646407E-2</v>
      </c>
      <c r="AF12">
        <f t="shared" si="23"/>
        <v>2.1788917454427573E-2</v>
      </c>
      <c r="AG12">
        <f t="shared" si="24"/>
        <v>0.37674891280109202</v>
      </c>
      <c r="AH12">
        <f t="shared" si="25"/>
        <v>0.51569494860535992</v>
      </c>
    </row>
    <row r="13" spans="1:34" ht="15" customHeight="1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f t="shared" si="1"/>
        <v>0.96750000000000003</v>
      </c>
      <c r="I13">
        <f t="shared" si="2"/>
        <v>0.9</v>
      </c>
      <c r="J13">
        <f t="shared" si="3"/>
        <v>0.99437500000000001</v>
      </c>
      <c r="K13">
        <v>1</v>
      </c>
      <c r="L13">
        <f t="shared" si="4"/>
        <v>1.0965</v>
      </c>
      <c r="M13">
        <f t="shared" si="5"/>
        <v>1.0965</v>
      </c>
      <c r="N13">
        <f t="shared" si="6"/>
        <v>1.0642499999999999</v>
      </c>
      <c r="O13">
        <f t="shared" si="7"/>
        <v>0.99</v>
      </c>
      <c r="P13">
        <f t="shared" si="8"/>
        <v>1.0960764549898352</v>
      </c>
      <c r="Q13">
        <f t="shared" si="9"/>
        <v>1.0266438546105203</v>
      </c>
      <c r="R13">
        <f t="shared" si="0"/>
        <v>-6.7380305568016635E-2</v>
      </c>
      <c r="S13">
        <f t="shared" si="19"/>
        <v>0.93483960901568142</v>
      </c>
      <c r="T13">
        <f t="shared" si="26"/>
        <v>2.6719152305537999</v>
      </c>
      <c r="U13">
        <f t="shared" si="10"/>
        <v>1.075</v>
      </c>
      <c r="V13">
        <f t="shared" si="11"/>
        <v>2.0477469999120729E-2</v>
      </c>
      <c r="W13">
        <f t="shared" si="12"/>
        <v>9.1500000000000001E-4</v>
      </c>
      <c r="X13">
        <f t="shared" si="13"/>
        <v>4.0772341045787361E-4</v>
      </c>
      <c r="Y13">
        <f t="shared" si="14"/>
        <v>3.0169107171384338E-2</v>
      </c>
      <c r="Z13">
        <f t="shared" si="15"/>
        <v>9.8030699419037054E-2</v>
      </c>
      <c r="AA13">
        <f t="shared" si="16"/>
        <v>0.15</v>
      </c>
      <c r="AB13">
        <f t="shared" si="17"/>
        <v>7.5026533028363304E-2</v>
      </c>
      <c r="AC13">
        <f t="shared" si="18"/>
        <v>-3.3690152784008318E-2</v>
      </c>
      <c r="AD13">
        <f t="shared" si="21"/>
        <v>4.768154850822668E-2</v>
      </c>
      <c r="AE13">
        <f t="shared" si="22"/>
        <v>3.0328643586897928E-2</v>
      </c>
      <c r="AF13">
        <f t="shared" si="23"/>
        <v>2.2224695803516124E-2</v>
      </c>
      <c r="AG13">
        <f t="shared" si="24"/>
        <v>0.37298142367308107</v>
      </c>
      <c r="AH13">
        <f t="shared" si="25"/>
        <v>0.52678368842827816</v>
      </c>
    </row>
    <row r="14" spans="1:34" ht="15" customHeight="1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f t="shared" si="1"/>
        <v>0.96750000000000003</v>
      </c>
      <c r="I14">
        <f t="shared" si="2"/>
        <v>0.9</v>
      </c>
      <c r="J14">
        <f t="shared" si="3"/>
        <v>0.99437500000000001</v>
      </c>
      <c r="K14">
        <v>1</v>
      </c>
      <c r="L14">
        <f t="shared" si="4"/>
        <v>1.0965</v>
      </c>
      <c r="M14">
        <f t="shared" si="5"/>
        <v>1.0965</v>
      </c>
      <c r="N14">
        <f t="shared" si="6"/>
        <v>1.0642499999999999</v>
      </c>
      <c r="O14">
        <f t="shared" si="7"/>
        <v>0.99</v>
      </c>
      <c r="P14">
        <f t="shared" si="8"/>
        <v>1.0942829689913338</v>
      </c>
      <c r="Q14">
        <f t="shared" si="9"/>
        <v>1.0235649931726196</v>
      </c>
      <c r="R14">
        <f t="shared" si="0"/>
        <v>-0.13995099840285202</v>
      </c>
      <c r="S14">
        <f t="shared" si="19"/>
        <v>0.86940083638458376</v>
      </c>
      <c r="T14">
        <f t="shared" si="26"/>
        <v>2.8723088728453345</v>
      </c>
      <c r="U14">
        <f t="shared" si="10"/>
        <v>1.075</v>
      </c>
      <c r="V14">
        <f t="shared" si="11"/>
        <v>1.8429722999208656E-2</v>
      </c>
      <c r="W14">
        <f t="shared" si="12"/>
        <v>9.1500000000000001E-4</v>
      </c>
      <c r="X14">
        <f t="shared" si="13"/>
        <v>4.470687195670584E-4</v>
      </c>
      <c r="Y14">
        <f t="shared" si="14"/>
        <v>2.9867416099670495E-2</v>
      </c>
      <c r="Z14">
        <f t="shared" si="15"/>
        <v>0.10034079218155378</v>
      </c>
      <c r="AA14">
        <f t="shared" si="16"/>
        <v>0.15</v>
      </c>
      <c r="AB14">
        <f t="shared" si="17"/>
        <v>9.0853942965734319E-2</v>
      </c>
      <c r="AC14">
        <f t="shared" si="18"/>
        <v>-6.9975499201426011E-2</v>
      </c>
      <c r="AD14">
        <f t="shared" si="21"/>
        <v>4.2913393657404014E-2</v>
      </c>
      <c r="AE14">
        <f t="shared" si="22"/>
        <v>2.8053995317880585E-2</v>
      </c>
      <c r="AF14">
        <f t="shared" si="23"/>
        <v>2.2669189719586449E-2</v>
      </c>
      <c r="AG14">
        <f t="shared" si="24"/>
        <v>0.36925160943635027</v>
      </c>
      <c r="AH14">
        <f t="shared" si="25"/>
        <v>0.53711181186877865</v>
      </c>
    </row>
    <row r="15" spans="1:34" ht="15" customHeight="1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f t="shared" si="1"/>
        <v>0.96749999999999992</v>
      </c>
      <c r="I15">
        <f t="shared" si="2"/>
        <v>0.9</v>
      </c>
      <c r="J15">
        <f t="shared" si="3"/>
        <v>0.99437500000000001</v>
      </c>
      <c r="K15">
        <v>1</v>
      </c>
      <c r="L15">
        <f t="shared" si="4"/>
        <v>1.0965</v>
      </c>
      <c r="M15">
        <f t="shared" si="5"/>
        <v>1.0965</v>
      </c>
      <c r="N15">
        <f t="shared" si="6"/>
        <v>1.0642499999999999</v>
      </c>
      <c r="O15">
        <f t="shared" si="7"/>
        <v>0.99</v>
      </c>
      <c r="P15">
        <f t="shared" si="8"/>
        <v>1.0926987197562992</v>
      </c>
      <c r="Q15">
        <f t="shared" si="9"/>
        <v>1.0209137707990423</v>
      </c>
      <c r="R15">
        <f t="shared" si="0"/>
        <v>-0.22333260734190302</v>
      </c>
      <c r="S15">
        <f t="shared" si="19"/>
        <v>0.79984876947381711</v>
      </c>
      <c r="T15">
        <f t="shared" si="26"/>
        <v>3.0877320383087343</v>
      </c>
      <c r="U15">
        <f t="shared" si="10"/>
        <v>1.075</v>
      </c>
      <c r="V15">
        <f t="shared" si="11"/>
        <v>1.6586750699287792E-2</v>
      </c>
      <c r="W15">
        <f t="shared" si="12"/>
        <v>9.1500000000000001E-4</v>
      </c>
      <c r="X15">
        <f t="shared" si="13"/>
        <v>4.9021085100527952E-4</v>
      </c>
      <c r="Y15">
        <f t="shared" si="14"/>
        <v>2.9568741938673791E-2</v>
      </c>
      <c r="Z15">
        <f t="shared" si="15"/>
        <v>0.10243929651103313</v>
      </c>
      <c r="AA15">
        <f t="shared" si="16"/>
        <v>0.15</v>
      </c>
      <c r="AB15">
        <f t="shared" si="17"/>
        <v>0.11098635078200499</v>
      </c>
      <c r="AC15">
        <f t="shared" si="18"/>
        <v>-0.11166630367095151</v>
      </c>
      <c r="AD15">
        <f t="shared" si="21"/>
        <v>3.8622054291663613E-2</v>
      </c>
      <c r="AE15">
        <f t="shared" si="22"/>
        <v>2.5949945669039541E-2</v>
      </c>
      <c r="AF15">
        <f t="shared" si="23"/>
        <v>2.3122573513978176E-2</v>
      </c>
      <c r="AG15">
        <f t="shared" si="24"/>
        <v>0.36555909334198677</v>
      </c>
      <c r="AH15">
        <f t="shared" si="25"/>
        <v>0.54674633318333188</v>
      </c>
    </row>
    <row r="16" spans="1:34" ht="15" customHeight="1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f t="shared" si="1"/>
        <v>0.96750000000000014</v>
      </c>
      <c r="I16">
        <f t="shared" si="2"/>
        <v>0.9</v>
      </c>
      <c r="J16">
        <f t="shared" si="3"/>
        <v>0.99437500000000001</v>
      </c>
      <c r="K16">
        <v>1</v>
      </c>
      <c r="L16">
        <f t="shared" si="4"/>
        <v>1.0965</v>
      </c>
      <c r="M16">
        <f t="shared" si="5"/>
        <v>1.0965</v>
      </c>
      <c r="N16">
        <f t="shared" si="6"/>
        <v>1.0642499999999999</v>
      </c>
      <c r="O16">
        <f t="shared" si="7"/>
        <v>0.9900000000000001</v>
      </c>
      <c r="P16">
        <f t="shared" si="8"/>
        <v>1.0912940179661104</v>
      </c>
      <c r="Q16">
        <f t="shared" si="9"/>
        <v>1.0186164607445163</v>
      </c>
      <c r="R16">
        <f t="shared" si="0"/>
        <v>-0.31764328681314435</v>
      </c>
      <c r="S16">
        <f t="shared" si="19"/>
        <v>0.72786238022117355</v>
      </c>
      <c r="T16">
        <f t="shared" si="26"/>
        <v>3.3193119411818892</v>
      </c>
      <c r="U16">
        <f t="shared" si="10"/>
        <v>1.075</v>
      </c>
      <c r="V16">
        <f t="shared" si="11"/>
        <v>1.4928075629359014E-2</v>
      </c>
      <c r="W16">
        <f t="shared" si="12"/>
        <v>9.1500000000000001E-4</v>
      </c>
      <c r="X16">
        <f t="shared" si="13"/>
        <v>5.3751619812728902E-4</v>
      </c>
      <c r="Y16">
        <f t="shared" si="14"/>
        <v>2.9273054519287054E-2</v>
      </c>
      <c r="Z16">
        <f t="shared" si="15"/>
        <v>0.10434635365322664</v>
      </c>
      <c r="AA16">
        <f t="shared" si="16"/>
        <v>0.15</v>
      </c>
      <c r="AB16">
        <f t="shared" si="17"/>
        <v>0.13681069518278685</v>
      </c>
      <c r="AC16">
        <f t="shared" si="18"/>
        <v>-0.15882164340657218</v>
      </c>
      <c r="AD16">
        <f t="shared" si="21"/>
        <v>3.475984886249725E-2</v>
      </c>
      <c r="AE16">
        <f t="shared" si="22"/>
        <v>2.4003699743861576E-2</v>
      </c>
      <c r="AF16">
        <f t="shared" si="23"/>
        <v>2.3585024984257741E-2</v>
      </c>
      <c r="AG16">
        <f t="shared" si="24"/>
        <v>0.36190350240856689</v>
      </c>
      <c r="AH16">
        <f t="shared" si="25"/>
        <v>0.55574792400081652</v>
      </c>
    </row>
    <row r="17" spans="1:34" ht="15" customHeight="1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f t="shared" si="1"/>
        <v>0.96750000000000003</v>
      </c>
      <c r="I17">
        <f t="shared" si="2"/>
        <v>0.9</v>
      </c>
      <c r="J17">
        <f t="shared" si="3"/>
        <v>0.99437500000000001</v>
      </c>
      <c r="K17">
        <v>1</v>
      </c>
      <c r="L17">
        <f t="shared" si="4"/>
        <v>1.0965</v>
      </c>
      <c r="M17">
        <f t="shared" si="5"/>
        <v>1.0965</v>
      </c>
      <c r="N17">
        <f t="shared" si="6"/>
        <v>1.0642499999999999</v>
      </c>
      <c r="O17">
        <f t="shared" si="7"/>
        <v>0.99</v>
      </c>
      <c r="P17">
        <f t="shared" si="8"/>
        <v>1.0900441920755977</v>
      </c>
      <c r="Q17">
        <f t="shared" si="9"/>
        <v>1.0166145508138307</v>
      </c>
      <c r="R17">
        <f t="shared" si="0"/>
        <v>-0.42300380247097069</v>
      </c>
      <c r="S17">
        <f t="shared" si="19"/>
        <v>0.65507614219905619</v>
      </c>
      <c r="T17">
        <f t="shared" si="26"/>
        <v>3.5682603367705306</v>
      </c>
      <c r="U17">
        <f t="shared" si="10"/>
        <v>1.075</v>
      </c>
      <c r="V17">
        <f t="shared" si="11"/>
        <v>1.3435268066423112E-2</v>
      </c>
      <c r="W17">
        <f t="shared" si="12"/>
        <v>9.1500000000000001E-4</v>
      </c>
      <c r="X17">
        <f t="shared" si="13"/>
        <v>5.8938651124657243E-4</v>
      </c>
      <c r="Y17">
        <f t="shared" si="14"/>
        <v>2.8980323974094183E-2</v>
      </c>
      <c r="Z17">
        <f t="shared" si="15"/>
        <v>0.10608002144823613</v>
      </c>
      <c r="AA17">
        <f t="shared" si="16"/>
        <v>0.15</v>
      </c>
      <c r="AB17">
        <f t="shared" si="17"/>
        <v>0.17022164041839796</v>
      </c>
      <c r="AC17">
        <f t="shared" si="18"/>
        <v>-0.21150190123548535</v>
      </c>
      <c r="AD17">
        <f t="shared" si="21"/>
        <v>3.1283863976247529E-2</v>
      </c>
      <c r="AE17">
        <f t="shared" si="22"/>
        <v>2.220342226307196E-2</v>
      </c>
      <c r="AF17">
        <f t="shared" si="23"/>
        <v>2.4056725483942897E-2</v>
      </c>
      <c r="AG17">
        <f t="shared" si="24"/>
        <v>0.35828446738448122</v>
      </c>
      <c r="AH17">
        <f t="shared" si="25"/>
        <v>0.56417152089225642</v>
      </c>
    </row>
    <row r="18" spans="1:34" ht="15" customHeight="1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f t="shared" si="1"/>
        <v>0.96750000000000003</v>
      </c>
      <c r="I18">
        <f t="shared" si="2"/>
        <v>0.9</v>
      </c>
      <c r="J18">
        <f t="shared" si="3"/>
        <v>0.99437500000000012</v>
      </c>
      <c r="K18">
        <v>1</v>
      </c>
      <c r="L18">
        <f t="shared" si="4"/>
        <v>1.0965</v>
      </c>
      <c r="M18">
        <f t="shared" si="5"/>
        <v>1.0965</v>
      </c>
      <c r="N18">
        <f t="shared" si="6"/>
        <v>1.0642499999999999</v>
      </c>
      <c r="O18">
        <f t="shared" si="7"/>
        <v>0.99</v>
      </c>
      <c r="P18">
        <f t="shared" si="8"/>
        <v>1.0889285846731573</v>
      </c>
      <c r="Q18">
        <f t="shared" si="9"/>
        <v>1.0148609910379518</v>
      </c>
      <c r="R18">
        <f t="shared" si="0"/>
        <v>-0.5395376187269223</v>
      </c>
      <c r="S18">
        <f t="shared" si="19"/>
        <v>0.58301776655715998</v>
      </c>
      <c r="T18">
        <f t="shared" si="26"/>
        <v>3.8358798620283201</v>
      </c>
      <c r="U18">
        <f t="shared" si="10"/>
        <v>1.075</v>
      </c>
      <c r="V18">
        <f t="shared" si="11"/>
        <v>1.2091741259780801E-2</v>
      </c>
      <c r="W18">
        <f t="shared" si="12"/>
        <v>9.1500000000000001E-4</v>
      </c>
      <c r="X18">
        <f t="shared" si="13"/>
        <v>6.4626230958186664E-4</v>
      </c>
      <c r="Y18">
        <f t="shared" si="14"/>
        <v>2.8690520734353242E-2</v>
      </c>
      <c r="Z18">
        <f t="shared" si="15"/>
        <v>0.10765647569628409</v>
      </c>
      <c r="AA18">
        <f t="shared" si="16"/>
        <v>0.15</v>
      </c>
      <c r="AB18">
        <f t="shared" si="17"/>
        <v>0.21382898200872913</v>
      </c>
      <c r="AC18">
        <f t="shared" si="18"/>
        <v>-0.26976880936346115</v>
      </c>
      <c r="AD18">
        <f t="shared" si="21"/>
        <v>2.8155477578622776E-2</v>
      </c>
      <c r="AE18">
        <f t="shared" si="22"/>
        <v>2.0538165593341564E-2</v>
      </c>
      <c r="AF18">
        <f t="shared" si="23"/>
        <v>2.4537859993621756E-2</v>
      </c>
      <c r="AG18">
        <f t="shared" si="24"/>
        <v>0.35470162271063638</v>
      </c>
      <c r="AH18">
        <f t="shared" si="25"/>
        <v>0.57206687412377755</v>
      </c>
    </row>
    <row r="19" spans="1:34" ht="15" customHeight="1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f t="shared" si="1"/>
        <v>0.96750000000000014</v>
      </c>
      <c r="I19">
        <f t="shared" si="2"/>
        <v>0.90000000000000013</v>
      </c>
      <c r="J19">
        <f t="shared" si="3"/>
        <v>0.99437500000000001</v>
      </c>
      <c r="K19">
        <v>1</v>
      </c>
      <c r="L19">
        <f t="shared" si="4"/>
        <v>1.0965</v>
      </c>
      <c r="M19">
        <f t="shared" si="5"/>
        <v>1.0965</v>
      </c>
      <c r="N19">
        <f t="shared" si="6"/>
        <v>1.0642500000000001</v>
      </c>
      <c r="O19">
        <f t="shared" si="7"/>
        <v>0.99000000000000021</v>
      </c>
      <c r="P19">
        <f t="shared" si="8"/>
        <v>1.0879297809350021</v>
      </c>
      <c r="Q19">
        <f t="shared" si="9"/>
        <v>1.0133174991209233</v>
      </c>
      <c r="R19">
        <f t="shared" si="0"/>
        <v>-0.66737099023680713</v>
      </c>
      <c r="S19">
        <f t="shared" si="19"/>
        <v>0.51305563457030079</v>
      </c>
      <c r="T19">
        <f t="shared" si="26"/>
        <v>4.1235708516804443</v>
      </c>
      <c r="U19">
        <f t="shared" si="10"/>
        <v>1.075</v>
      </c>
      <c r="V19">
        <f t="shared" si="11"/>
        <v>1.0882567133802722E-2</v>
      </c>
      <c r="W19">
        <f t="shared" si="12"/>
        <v>9.1500000000000001E-4</v>
      </c>
      <c r="X19">
        <f t="shared" si="13"/>
        <v>7.0862662245651674E-4</v>
      </c>
      <c r="Y19">
        <f t="shared" si="14"/>
        <v>2.8403615527009717E-2</v>
      </c>
      <c r="Z19">
        <f t="shared" si="15"/>
        <v>0.10909019071673104</v>
      </c>
      <c r="AA19">
        <f t="shared" si="16"/>
        <v>0.15</v>
      </c>
      <c r="AB19">
        <f t="shared" si="17"/>
        <v>0.27125813823441275</v>
      </c>
      <c r="AC19">
        <f t="shared" si="18"/>
        <v>-0.33368549511840356</v>
      </c>
      <c r="AD19">
        <f t="shared" si="21"/>
        <v>2.5339929820760498E-2</v>
      </c>
      <c r="AE19">
        <f t="shared" si="22"/>
        <v>1.8997803173840949E-2</v>
      </c>
      <c r="AF19">
        <f t="shared" si="23"/>
        <v>2.5028617193494192E-2</v>
      </c>
      <c r="AG19">
        <f t="shared" si="24"/>
        <v>0.35115460648353003</v>
      </c>
      <c r="AH19">
        <f t="shared" si="25"/>
        <v>0.5794790433283743</v>
      </c>
    </row>
    <row r="20" spans="1:34" ht="15" customHeight="1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f t="shared" si="1"/>
        <v>0.96750000000000003</v>
      </c>
      <c r="I20">
        <f t="shared" si="2"/>
        <v>0.9</v>
      </c>
      <c r="J20">
        <f t="shared" si="3"/>
        <v>0.99437500000000001</v>
      </c>
      <c r="K20">
        <v>1</v>
      </c>
      <c r="L20">
        <f t="shared" si="4"/>
        <v>1.0965</v>
      </c>
      <c r="M20">
        <f t="shared" si="5"/>
        <v>1.0965</v>
      </c>
      <c r="N20">
        <f t="shared" si="6"/>
        <v>1.0642499999999999</v>
      </c>
      <c r="O20">
        <f t="shared" si="7"/>
        <v>0.99</v>
      </c>
      <c r="P20">
        <f t="shared" si="8"/>
        <v>1.0870330087293258</v>
      </c>
      <c r="Q20">
        <f t="shared" si="9"/>
        <v>1.0119525907051452</v>
      </c>
      <c r="R20">
        <f t="shared" si="0"/>
        <v>-0.69314718055994529</v>
      </c>
      <c r="S20">
        <f t="shared" si="19"/>
        <v>0.5</v>
      </c>
      <c r="T20">
        <f t="shared" si="26"/>
        <v>4.4328386655564778</v>
      </c>
      <c r="U20">
        <f t="shared" si="10"/>
        <v>1.075</v>
      </c>
      <c r="V20">
        <f t="shared" si="11"/>
        <v>9.7943104204224491E-3</v>
      </c>
      <c r="W20">
        <f t="shared" si="12"/>
        <v>9.1500000000000001E-4</v>
      </c>
      <c r="X20">
        <f t="shared" si="13"/>
        <v>7.7700909152357068E-4</v>
      </c>
      <c r="Y20">
        <f t="shared" si="14"/>
        <v>2.811957937173962E-2</v>
      </c>
      <c r="Z20">
        <f t="shared" si="15"/>
        <v>0.11039410111631436</v>
      </c>
      <c r="AA20">
        <f t="shared" si="16"/>
        <v>0.15</v>
      </c>
      <c r="AB20">
        <f t="shared" si="17"/>
        <v>0.31029870658895348</v>
      </c>
      <c r="AC20">
        <f t="shared" si="18"/>
        <v>-0.34657359027997264</v>
      </c>
      <c r="AD20">
        <f t="shared" si="21"/>
        <v>2.2805936838684451E-2</v>
      </c>
      <c r="AE20">
        <f t="shared" si="22"/>
        <v>1.7572967935802878E-2</v>
      </c>
      <c r="AF20">
        <f t="shared" si="23"/>
        <v>2.5529189537364078E-2</v>
      </c>
      <c r="AG20">
        <f t="shared" si="24"/>
        <v>0.34764306041869475</v>
      </c>
      <c r="AH20">
        <f t="shared" si="25"/>
        <v>0.58644884526945384</v>
      </c>
    </row>
    <row r="21" spans="1:34" ht="15" customHeight="1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f t="shared" si="1"/>
        <v>0.96750000000000003</v>
      </c>
      <c r="I21">
        <f t="shared" si="2"/>
        <v>0.90000000000000013</v>
      </c>
      <c r="J21">
        <f t="shared" si="3"/>
        <v>0.99437500000000001</v>
      </c>
      <c r="K21">
        <v>1</v>
      </c>
      <c r="L21">
        <f t="shared" si="4"/>
        <v>1.0965</v>
      </c>
      <c r="M21">
        <f t="shared" si="5"/>
        <v>1.0965</v>
      </c>
      <c r="N21">
        <f t="shared" si="6"/>
        <v>1.0642499999999999</v>
      </c>
      <c r="O21">
        <f t="shared" si="7"/>
        <v>0.99</v>
      </c>
      <c r="P21">
        <f t="shared" si="8"/>
        <v>1.0862256672824142</v>
      </c>
      <c r="Q21">
        <f t="shared" si="9"/>
        <v>1.0107401160608971</v>
      </c>
      <c r="R21">
        <f t="shared" si="0"/>
        <v>-0.69314718055994529</v>
      </c>
      <c r="S21">
        <f t="shared" si="19"/>
        <v>0.5</v>
      </c>
      <c r="T21">
        <f t="shared" si="26"/>
        <v>4.7653015654732132</v>
      </c>
      <c r="U21">
        <f t="shared" si="10"/>
        <v>1.075</v>
      </c>
      <c r="V21">
        <f t="shared" si="11"/>
        <v>8.8148793783802051E-3</v>
      </c>
      <c r="W21">
        <f t="shared" si="12"/>
        <v>9.1500000000000001E-4</v>
      </c>
      <c r="X21">
        <f t="shared" si="13"/>
        <v>8.5199046885559525E-4</v>
      </c>
      <c r="Y21">
        <f t="shared" si="14"/>
        <v>2.7838383578022225E-2</v>
      </c>
      <c r="Z21">
        <f t="shared" si="15"/>
        <v>0.11157974657474197</v>
      </c>
      <c r="AA21">
        <f t="shared" si="16"/>
        <v>0.15</v>
      </c>
      <c r="AB21">
        <f t="shared" si="17"/>
        <v>0.345484363496808</v>
      </c>
      <c r="AC21">
        <f t="shared" si="18"/>
        <v>-0.34657359027997264</v>
      </c>
      <c r="AD21">
        <f t="shared" si="21"/>
        <v>2.0525343154816005E-2</v>
      </c>
      <c r="AE21">
        <f t="shared" si="22"/>
        <v>1.6254995340617664E-2</v>
      </c>
      <c r="AF21">
        <f t="shared" si="23"/>
        <v>2.603977332811136E-2</v>
      </c>
      <c r="AG21">
        <f t="shared" si="24"/>
        <v>0.3441666298145078</v>
      </c>
      <c r="AH21">
        <f t="shared" si="25"/>
        <v>0.59301325836194718</v>
      </c>
    </row>
    <row r="22" spans="1:34" ht="15" customHeight="1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f t="shared" si="1"/>
        <v>0.96750000000000003</v>
      </c>
      <c r="I22">
        <f t="shared" si="2"/>
        <v>0.89999999999999991</v>
      </c>
      <c r="J22">
        <f t="shared" si="3"/>
        <v>0.99437500000000001</v>
      </c>
      <c r="K22">
        <v>1</v>
      </c>
      <c r="L22">
        <f t="shared" si="4"/>
        <v>1.0965</v>
      </c>
      <c r="M22">
        <f t="shared" si="5"/>
        <v>1.0965</v>
      </c>
      <c r="N22">
        <f t="shared" si="6"/>
        <v>1.0642499999999999</v>
      </c>
      <c r="O22">
        <f t="shared" si="7"/>
        <v>0.99</v>
      </c>
      <c r="P22">
        <f t="shared" si="8"/>
        <v>1.0854969532631684</v>
      </c>
      <c r="Q22">
        <f t="shared" si="9"/>
        <v>1.0096581568470566</v>
      </c>
      <c r="R22">
        <f t="shared" si="0"/>
        <v>-0.69314718055994529</v>
      </c>
      <c r="S22">
        <f t="shared" si="19"/>
        <v>0.5</v>
      </c>
      <c r="T22">
        <f t="shared" si="26"/>
        <v>5.1226991828837036</v>
      </c>
      <c r="U22">
        <f t="shared" si="10"/>
        <v>1.075</v>
      </c>
      <c r="V22">
        <f t="shared" si="11"/>
        <v>7.933391440542184E-3</v>
      </c>
      <c r="W22">
        <f t="shared" si="12"/>
        <v>9.1500000000000001E-4</v>
      </c>
      <c r="X22">
        <f t="shared" si="13"/>
        <v>9.3420754910016025E-4</v>
      </c>
      <c r="Y22">
        <f t="shared" si="14"/>
        <v>2.7559999742242002E-2</v>
      </c>
      <c r="Z22">
        <f t="shared" si="15"/>
        <v>0.11265740126811565</v>
      </c>
      <c r="AA22">
        <f t="shared" si="16"/>
        <v>0.15</v>
      </c>
      <c r="AB22">
        <f t="shared" si="17"/>
        <v>0.38420243871627779</v>
      </c>
      <c r="AC22">
        <f t="shared" si="18"/>
        <v>-0.34657359027997264</v>
      </c>
      <c r="AD22">
        <f t="shared" si="21"/>
        <v>1.8472808839334404E-2</v>
      </c>
      <c r="AE22">
        <f t="shared" si="22"/>
        <v>1.503587069007134E-2</v>
      </c>
      <c r="AF22">
        <f t="shared" si="23"/>
        <v>2.6560568794673587E-2</v>
      </c>
      <c r="AG22">
        <f t="shared" si="24"/>
        <v>0.34072496351636272</v>
      </c>
      <c r="AH22">
        <f t="shared" si="25"/>
        <v>0.59920578815955794</v>
      </c>
    </row>
    <row r="23" spans="1:34" ht="15" customHeight="1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f t="shared" si="1"/>
        <v>0.96750000000000003</v>
      </c>
      <c r="I23">
        <f t="shared" si="2"/>
        <v>0.9</v>
      </c>
      <c r="J23">
        <f t="shared" si="3"/>
        <v>0.99437500000000001</v>
      </c>
      <c r="K23">
        <v>1</v>
      </c>
      <c r="L23">
        <f t="shared" si="4"/>
        <v>1.0965</v>
      </c>
      <c r="M23">
        <f t="shared" si="5"/>
        <v>1.0965</v>
      </c>
      <c r="N23">
        <f t="shared" si="6"/>
        <v>1.0642500000000001</v>
      </c>
      <c r="O23">
        <f t="shared" si="7"/>
        <v>0.99000000000000021</v>
      </c>
      <c r="P23">
        <f t="shared" si="8"/>
        <v>1.0848375614870123</v>
      </c>
      <c r="Q23">
        <f t="shared" si="9"/>
        <v>1.0086881829508834</v>
      </c>
      <c r="R23">
        <f t="shared" si="0"/>
        <v>-0.69314718055994529</v>
      </c>
      <c r="S23">
        <f t="shared" si="19"/>
        <v>0.5</v>
      </c>
      <c r="T23">
        <f t="shared" si="26"/>
        <v>5.5069016215999813</v>
      </c>
      <c r="U23">
        <f t="shared" si="10"/>
        <v>1.075</v>
      </c>
      <c r="V23">
        <f t="shared" si="11"/>
        <v>7.1400522964879662E-3</v>
      </c>
      <c r="W23">
        <f t="shared" si="12"/>
        <v>9.1500000000000001E-4</v>
      </c>
      <c r="X23">
        <f t="shared" si="13"/>
        <v>1.0243585775883256E-3</v>
      </c>
      <c r="Y23">
        <f t="shared" si="14"/>
        <v>2.7284399744819589E-2</v>
      </c>
      <c r="Z23">
        <f t="shared" si="15"/>
        <v>0.11363618938110412</v>
      </c>
      <c r="AA23">
        <f t="shared" si="16"/>
        <v>0.15</v>
      </c>
      <c r="AB23">
        <f t="shared" si="17"/>
        <v>0.42678487567399859</v>
      </c>
      <c r="AC23">
        <f t="shared" si="18"/>
        <v>-0.34657359027997264</v>
      </c>
      <c r="AD23">
        <f t="shared" si="21"/>
        <v>1.6625527955400964E-2</v>
      </c>
      <c r="AE23">
        <f t="shared" si="22"/>
        <v>1.390818038831599E-2</v>
      </c>
      <c r="AF23">
        <f t="shared" si="23"/>
        <v>2.709178017056706E-2</v>
      </c>
      <c r="AG23">
        <f t="shared" si="24"/>
        <v>0.33731771388119908</v>
      </c>
      <c r="AH23">
        <f t="shared" si="25"/>
        <v>0.60505679760451692</v>
      </c>
    </row>
    <row r="24" spans="1:34" ht="15" customHeight="1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f t="shared" si="1"/>
        <v>0.96750000000000003</v>
      </c>
      <c r="I24">
        <f t="shared" si="2"/>
        <v>0.9</v>
      </c>
      <c r="J24">
        <f t="shared" si="3"/>
        <v>0.99437500000000001</v>
      </c>
      <c r="K24">
        <v>1</v>
      </c>
      <c r="L24">
        <f t="shared" si="4"/>
        <v>1.0965</v>
      </c>
      <c r="M24">
        <f t="shared" si="5"/>
        <v>1.0965</v>
      </c>
      <c r="N24">
        <f t="shared" si="6"/>
        <v>1.0642499999999999</v>
      </c>
      <c r="O24">
        <f t="shared" si="7"/>
        <v>0.99</v>
      </c>
      <c r="P24">
        <f t="shared" si="8"/>
        <v>1.0842394433509772</v>
      </c>
      <c r="Q24">
        <f t="shared" si="9"/>
        <v>1.0078143998773279</v>
      </c>
      <c r="R24">
        <f t="shared" si="0"/>
        <v>-0.69314718055994529</v>
      </c>
      <c r="S24">
        <f t="shared" si="19"/>
        <v>0.5</v>
      </c>
      <c r="T24">
        <f t="shared" si="26"/>
        <v>5.9199192432199794</v>
      </c>
      <c r="U24">
        <f t="shared" si="10"/>
        <v>1.075</v>
      </c>
      <c r="V24">
        <f t="shared" si="11"/>
        <v>6.4260470668391695E-3</v>
      </c>
      <c r="W24">
        <f t="shared" si="12"/>
        <v>9.1500000000000001E-4</v>
      </c>
      <c r="X24">
        <f t="shared" si="13"/>
        <v>1.1232091803255991E-3</v>
      </c>
      <c r="Y24">
        <f t="shared" si="14"/>
        <v>2.7011555747371394E-2</v>
      </c>
      <c r="Z24">
        <f t="shared" si="15"/>
        <v>0.11452418800546384</v>
      </c>
      <c r="AA24">
        <f t="shared" si="16"/>
        <v>0.15</v>
      </c>
      <c r="AB24">
        <f t="shared" si="17"/>
        <v>0.47359353945759841</v>
      </c>
      <c r="AC24">
        <f t="shared" si="18"/>
        <v>-0.34657359027997264</v>
      </c>
      <c r="AD24">
        <f t="shared" si="21"/>
        <v>1.4962975159860867E-2</v>
      </c>
      <c r="AE24">
        <f t="shared" si="22"/>
        <v>1.2865066859192292E-2</v>
      </c>
      <c r="AF24">
        <f t="shared" si="23"/>
        <v>2.7633615773978402E-2</v>
      </c>
      <c r="AG24">
        <f t="shared" si="24"/>
        <v>0.33394453674238711</v>
      </c>
      <c r="AH24">
        <f t="shared" si="25"/>
        <v>0.61059380546458131</v>
      </c>
    </row>
    <row r="25" spans="1:34" ht="15" customHeight="1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f>H24</f>
        <v>0.96750000000000003</v>
      </c>
      <c r="I25">
        <f>0.9*(I24-1)+1</f>
        <v>0.91</v>
      </c>
      <c r="J25">
        <f>J24</f>
        <v>0.99437500000000001</v>
      </c>
      <c r="K25">
        <v>1</v>
      </c>
      <c r="L25">
        <f>L24</f>
        <v>1.0965</v>
      </c>
      <c r="M25">
        <f>0.9*(M24-1)+1</f>
        <v>1.0868500000000001</v>
      </c>
      <c r="N25">
        <f>N24</f>
        <v>1.0642499999999999</v>
      </c>
      <c r="O25">
        <f>0.9*(O24-1)+1</f>
        <v>0.99099999999999999</v>
      </c>
      <c r="P25">
        <f>P24</f>
        <v>1.0842394433509772</v>
      </c>
      <c r="Q25">
        <f>0.9*(Q24-1)+1</f>
        <v>1.0070329598895951</v>
      </c>
      <c r="R25">
        <f t="shared" si="0"/>
        <v>-0.69314718055994529</v>
      </c>
      <c r="S25">
        <f t="shared" si="19"/>
        <v>0.5</v>
      </c>
      <c r="T25">
        <f t="shared" si="26"/>
        <v>6.3639131864614775</v>
      </c>
      <c r="U25">
        <f t="shared" si="10"/>
        <v>1.075</v>
      </c>
      <c r="V25">
        <f t="shared" si="11"/>
        <v>5.7834423601552526E-3</v>
      </c>
      <c r="W25">
        <f t="shared" si="12"/>
        <v>9.1500000000000001E-4</v>
      </c>
      <c r="X25">
        <f t="shared" si="13"/>
        <v>1.2315988662270193E-3</v>
      </c>
      <c r="Y25">
        <f t="shared" si="14"/>
        <v>2.6741440189897679E-2</v>
      </c>
      <c r="Z25">
        <f t="shared" si="15"/>
        <v>0.11532851858372004</v>
      </c>
      <c r="AA25">
        <f t="shared" si="16"/>
        <v>0.15</v>
      </c>
      <c r="AB25">
        <f t="shared" si="17"/>
        <v>0.52502283788307191</v>
      </c>
      <c r="AC25">
        <f t="shared" si="18"/>
        <v>-0.34657359027997264</v>
      </c>
      <c r="AD25">
        <f t="shared" si="21"/>
        <v>1.3466677643874781E-2</v>
      </c>
      <c r="AE25">
        <f t="shared" si="22"/>
        <v>1.190018684475287E-2</v>
      </c>
      <c r="AF25">
        <f t="shared" si="23"/>
        <v>2.8186288089457973E-2</v>
      </c>
      <c r="AG25">
        <f t="shared" si="24"/>
        <v>0.33060509137496324</v>
      </c>
      <c r="AH25">
        <f t="shared" si="25"/>
        <v>0.61584175604695113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0"/>
  <sheetViews>
    <sheetView zoomScale="145" zoomScaleNormal="145" workbookViewId="0">
      <selection activeCell="J7" sqref="J7"/>
    </sheetView>
  </sheetViews>
  <sheetFormatPr defaultColWidth="8.5703125" defaultRowHeight="15" customHeight="1" x14ac:dyDescent="0.25"/>
  <cols>
    <col min="1" max="1" width="5.42578125" customWidth="1"/>
    <col min="2" max="2" width="8.7109375" customWidth="1"/>
    <col min="3" max="3" width="6.28515625" customWidth="1"/>
    <col min="12" max="12" width="12.5703125" bestFit="1" customWidth="1"/>
  </cols>
  <sheetData>
    <row r="1" spans="1:12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6" t="s">
        <v>383</v>
      </c>
      <c r="I1" s="6" t="s">
        <v>392</v>
      </c>
      <c r="J1" s="6" t="s">
        <v>393</v>
      </c>
      <c r="K1" s="6" t="s">
        <v>394</v>
      </c>
      <c r="L1" s="6" t="s">
        <v>395</v>
      </c>
    </row>
    <row r="2" spans="1:12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7">
        <f t="shared" ref="I2:I24" si="0">LN(L2)</f>
        <v>4.8790164169432049E-2</v>
      </c>
      <c r="J2">
        <v>1</v>
      </c>
      <c r="K2">
        <v>0</v>
      </c>
      <c r="L2">
        <v>1.05</v>
      </c>
    </row>
    <row r="3" spans="1:12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v>0</v>
      </c>
      <c r="I3" s="7">
        <f t="shared" si="0"/>
        <v>6.2693069338423404E-2</v>
      </c>
      <c r="J3">
        <v>1</v>
      </c>
      <c r="K3">
        <v>0</v>
      </c>
      <c r="L3">
        <f>Baseline!S3*0.975</f>
        <v>1.0647</v>
      </c>
    </row>
    <row r="4" spans="1:12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v>0</v>
      </c>
      <c r="I4" s="7">
        <f t="shared" si="0"/>
        <v>9.2251871579968003E-2</v>
      </c>
      <c r="J4">
        <v>1</v>
      </c>
      <c r="K4">
        <v>0</v>
      </c>
      <c r="L4">
        <f>Baseline!S4*0.975</f>
        <v>1.0966410000000002</v>
      </c>
    </row>
    <row r="5" spans="1:12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v>0</v>
      </c>
      <c r="I5" s="7">
        <f t="shared" si="0"/>
        <v>0.11205449887614768</v>
      </c>
      <c r="J5">
        <v>1</v>
      </c>
      <c r="K5">
        <v>0</v>
      </c>
      <c r="L5">
        <f>Baseline!S5*0.975</f>
        <v>1.1185738200000002</v>
      </c>
    </row>
    <row r="6" spans="1:12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v>0</v>
      </c>
      <c r="I6" s="7">
        <f t="shared" si="0"/>
        <v>0.12200482972931598</v>
      </c>
      <c r="J6">
        <v>1</v>
      </c>
      <c r="K6">
        <v>0</v>
      </c>
      <c r="L6">
        <f>Baseline!S6*0.975</f>
        <v>1.1297595582000004</v>
      </c>
    </row>
    <row r="7" spans="1:12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v>0</v>
      </c>
      <c r="I7" s="7">
        <f t="shared" si="0"/>
        <v>0.12200482972931598</v>
      </c>
      <c r="J7">
        <v>1</v>
      </c>
      <c r="K7">
        <v>0</v>
      </c>
      <c r="L7">
        <f>Baseline!S7*0.975</f>
        <v>1.1297595582000004</v>
      </c>
    </row>
    <row r="8" spans="1:12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v>0</v>
      </c>
      <c r="I8" s="7">
        <f t="shared" si="0"/>
        <v>0.1119544938758143</v>
      </c>
      <c r="J8">
        <v>1</v>
      </c>
      <c r="K8">
        <v>0</v>
      </c>
      <c r="L8">
        <f>Baseline!S8*0.975</f>
        <v>1.1184619626180001</v>
      </c>
    </row>
    <row r="9" spans="1:12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v>0</v>
      </c>
      <c r="I9" s="7">
        <f t="shared" si="0"/>
        <v>9.1751786558294843E-2</v>
      </c>
      <c r="J9">
        <v>1</v>
      </c>
      <c r="K9">
        <v>0</v>
      </c>
      <c r="L9">
        <f>Baseline!S9*0.975</f>
        <v>1.0960927233656401</v>
      </c>
    </row>
    <row r="10" spans="1:12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v>0</v>
      </c>
      <c r="I10" s="7">
        <f t="shared" si="0"/>
        <v>5.0983209414725103E-2</v>
      </c>
      <c r="J10">
        <v>1</v>
      </c>
      <c r="K10">
        <v>0</v>
      </c>
      <c r="L10">
        <f>Baseline!S10*0.965</f>
        <v>1.0523052243142641</v>
      </c>
    </row>
    <row r="11" spans="1:12" ht="15" customHeight="1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v>0</v>
      </c>
      <c r="I11" s="7">
        <f t="shared" si="0"/>
        <v>-5.5049018499293235E-3</v>
      </c>
      <c r="J11">
        <v>1</v>
      </c>
      <c r="K11">
        <v>0</v>
      </c>
      <c r="L11">
        <f>Baseline!S11*0.95</f>
        <v>0.99451022235710773</v>
      </c>
    </row>
    <row r="12" spans="1:12" ht="15" customHeight="1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v>0</v>
      </c>
      <c r="I12" s="7">
        <f t="shared" si="0"/>
        <v>-5.6798196237479746E-2</v>
      </c>
      <c r="J12">
        <v>1</v>
      </c>
      <c r="K12">
        <v>0</v>
      </c>
      <c r="L12">
        <f>Baseline!S12*0.95</f>
        <v>0.94478471123925245</v>
      </c>
    </row>
    <row r="13" spans="1:12" ht="15" customHeight="1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v>0</v>
      </c>
      <c r="I13" s="7">
        <f t="shared" si="0"/>
        <v>-0.11867359995556725</v>
      </c>
      <c r="J13">
        <v>1</v>
      </c>
      <c r="K13">
        <v>0</v>
      </c>
      <c r="L13">
        <f>Baseline!S13*0.95</f>
        <v>0.88809762856489727</v>
      </c>
    </row>
    <row r="14" spans="1:12" ht="15" customHeight="1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v>0</v>
      </c>
      <c r="I14" s="7">
        <f t="shared" si="0"/>
        <v>-0.19124429279040256</v>
      </c>
      <c r="J14">
        <v>1</v>
      </c>
      <c r="K14">
        <v>0</v>
      </c>
      <c r="L14">
        <f>Baseline!S14*0.95</f>
        <v>0.82593079456535456</v>
      </c>
    </row>
    <row r="15" spans="1:12" ht="15" customHeight="1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v>0</v>
      </c>
      <c r="I15" s="7">
        <f t="shared" si="0"/>
        <v>-0.27462590172945367</v>
      </c>
      <c r="J15">
        <v>1</v>
      </c>
      <c r="K15">
        <v>0</v>
      </c>
      <c r="L15">
        <f>Baseline!S15*0.95</f>
        <v>0.75985633100012617</v>
      </c>
    </row>
    <row r="16" spans="1:12" ht="15" customHeight="1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v>0</v>
      </c>
      <c r="I16" s="7">
        <f t="shared" si="0"/>
        <v>-0.36893658120069489</v>
      </c>
      <c r="J16">
        <v>1</v>
      </c>
      <c r="K16">
        <v>0</v>
      </c>
      <c r="L16">
        <f>Baseline!S16*0.95</f>
        <v>0.69146926121011487</v>
      </c>
    </row>
    <row r="17" spans="1:12" ht="15" customHeight="1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v>0</v>
      </c>
      <c r="I17" s="7">
        <f t="shared" si="0"/>
        <v>-0.47429709685852117</v>
      </c>
      <c r="J17">
        <v>1</v>
      </c>
      <c r="K17">
        <v>0</v>
      </c>
      <c r="L17">
        <f>Baseline!S17*0.95</f>
        <v>0.6223223350891034</v>
      </c>
    </row>
    <row r="18" spans="1:12" ht="15" customHeight="1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v>0</v>
      </c>
      <c r="I18" s="7">
        <f t="shared" si="0"/>
        <v>-0.65152175274855062</v>
      </c>
      <c r="J18">
        <v>1</v>
      </c>
      <c r="K18">
        <v>0</v>
      </c>
      <c r="L18">
        <f>MIN(Baseline!S18,MAX(0.11,0.975^($A18-$A$11)*L17))</f>
        <v>0.52125195631777099</v>
      </c>
    </row>
    <row r="19" spans="1:12" ht="15" customHeight="1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v>0</v>
      </c>
      <c r="I19" s="7">
        <f t="shared" si="0"/>
        <v>-0.85406421662286991</v>
      </c>
      <c r="J19">
        <v>1</v>
      </c>
      <c r="K19">
        <v>0</v>
      </c>
      <c r="L19">
        <f>MIN(Baseline!S19,MAX(0.11,0.975^($A19-$A$11)*L18))</f>
        <v>0.42568135028939014</v>
      </c>
    </row>
    <row r="20" spans="1:12" ht="15" customHeight="1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v>0</v>
      </c>
      <c r="I20" s="7">
        <f t="shared" si="0"/>
        <v>-1.0819244884814789</v>
      </c>
      <c r="J20">
        <v>1</v>
      </c>
      <c r="K20">
        <v>0</v>
      </c>
      <c r="L20">
        <f>MIN(Baseline!S20,MAX(0.11,0.975^($A20-$A$11)*L19))</f>
        <v>0.33894260643673707</v>
      </c>
    </row>
    <row r="21" spans="1:12" ht="15" customHeight="1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v>0</v>
      </c>
      <c r="I21" s="7">
        <f t="shared" si="0"/>
        <v>-1.3351025683243782</v>
      </c>
      <c r="J21">
        <f t="shared" ref="J21:J25" si="1">1+(J20-1)*0.99</f>
        <v>1</v>
      </c>
      <c r="K21">
        <v>0</v>
      </c>
      <c r="L21">
        <f>MIN(Baseline!S21,MAX(0.11,0.975^($A21-$A$11)*L20))</f>
        <v>0.2631311851471248</v>
      </c>
    </row>
    <row r="22" spans="1:12" ht="15" customHeight="1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v>0</v>
      </c>
      <c r="I22" s="7">
        <f t="shared" si="0"/>
        <v>-1.6135984561515673</v>
      </c>
      <c r="J22">
        <f t="shared" si="1"/>
        <v>1</v>
      </c>
      <c r="K22">
        <v>0</v>
      </c>
      <c r="L22">
        <f>MIN(Baseline!S22,MAX(0.11,0.975^($A22-$A$11)*L21))</f>
        <v>0.19916961987075313</v>
      </c>
    </row>
    <row r="23" spans="1:12" ht="15" customHeight="1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v>0</v>
      </c>
      <c r="I23" s="7">
        <f t="shared" si="0"/>
        <v>-1.917412151963046</v>
      </c>
      <c r="J23">
        <f t="shared" si="1"/>
        <v>1</v>
      </c>
      <c r="K23">
        <v>0</v>
      </c>
      <c r="L23">
        <f>MIN(Baseline!S23,MAX(0.11,0.975^($A23-$A$11)*L22))</f>
        <v>0.14698685000353867</v>
      </c>
    </row>
    <row r="24" spans="1:12" ht="15" customHeight="1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v>0</v>
      </c>
      <c r="I24" s="7">
        <f t="shared" si="0"/>
        <v>-2.2072749131897207</v>
      </c>
      <c r="J24">
        <f t="shared" si="1"/>
        <v>1</v>
      </c>
      <c r="K24">
        <v>0</v>
      </c>
      <c r="L24">
        <f>MIN(Baseline!S24,MAX(0.11,0.975^($A24-$A$11)*L23))</f>
        <v>0.11</v>
      </c>
    </row>
    <row r="25" spans="1:12" ht="15" customHeight="1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v>0</v>
      </c>
      <c r="I25" s="7">
        <f>LN(L25)</f>
        <v>-2.2072749131897207</v>
      </c>
      <c r="J25">
        <f t="shared" si="1"/>
        <v>1</v>
      </c>
      <c r="K25">
        <v>0</v>
      </c>
      <c r="L25">
        <f>MIN(Baseline!S25,MAX(0.11,0.975^($A25-$A$11)*L24))</f>
        <v>0.11</v>
      </c>
    </row>
    <row r="26" spans="1:12" ht="15" customHeight="1" x14ac:dyDescent="0.25">
      <c r="I26" s="7"/>
    </row>
    <row r="27" spans="1:12" ht="15" customHeight="1" x14ac:dyDescent="0.25">
      <c r="I27" s="7"/>
    </row>
    <row r="28" spans="1:12" ht="15" customHeight="1" x14ac:dyDescent="0.25">
      <c r="I28" s="7"/>
    </row>
    <row r="29" spans="1:12" ht="15" customHeight="1" x14ac:dyDescent="0.25">
      <c r="I29" s="7"/>
    </row>
    <row r="30" spans="1:12" ht="15" customHeight="1" x14ac:dyDescent="0.25">
      <c r="I30" s="7"/>
    </row>
    <row r="31" spans="1:12" ht="15" customHeight="1" x14ac:dyDescent="0.25">
      <c r="I31" s="7"/>
    </row>
    <row r="32" spans="1:12" ht="15" customHeight="1" x14ac:dyDescent="0.25">
      <c r="I32" s="7"/>
    </row>
    <row r="33" spans="9:9" ht="15" customHeight="1" x14ac:dyDescent="0.25">
      <c r="I33" s="7"/>
    </row>
    <row r="34" spans="9:9" ht="15" customHeight="1" x14ac:dyDescent="0.25">
      <c r="I34" s="7"/>
    </row>
    <row r="35" spans="9:9" ht="15" customHeight="1" x14ac:dyDescent="0.25">
      <c r="I35" s="7"/>
    </row>
    <row r="36" spans="9:9" ht="15" customHeight="1" x14ac:dyDescent="0.25">
      <c r="I36" s="7"/>
    </row>
    <row r="37" spans="9:9" ht="15" customHeight="1" x14ac:dyDescent="0.25">
      <c r="I37" s="7"/>
    </row>
    <row r="38" spans="9:9" ht="15" customHeight="1" x14ac:dyDescent="0.25">
      <c r="I38" s="7"/>
    </row>
    <row r="39" spans="9:9" ht="15" customHeight="1" x14ac:dyDescent="0.25">
      <c r="I39" s="7"/>
    </row>
    <row r="40" spans="9:9" ht="15" customHeight="1" x14ac:dyDescent="0.25">
      <c r="I40" s="7"/>
    </row>
    <row r="41" spans="9:9" ht="15" customHeight="1" x14ac:dyDescent="0.25">
      <c r="I41" s="7"/>
    </row>
    <row r="42" spans="9:9" ht="15" customHeight="1" x14ac:dyDescent="0.25">
      <c r="I42" s="7"/>
    </row>
    <row r="43" spans="9:9" ht="15" customHeight="1" x14ac:dyDescent="0.25">
      <c r="I43" s="7"/>
    </row>
    <row r="44" spans="9:9" ht="15" customHeight="1" x14ac:dyDescent="0.25">
      <c r="I44" s="7"/>
    </row>
    <row r="45" spans="9:9" ht="15" customHeight="1" x14ac:dyDescent="0.25">
      <c r="I45" s="7"/>
    </row>
    <row r="46" spans="9:9" ht="15" customHeight="1" x14ac:dyDescent="0.25">
      <c r="I46" s="7"/>
    </row>
    <row r="47" spans="9:9" ht="15" customHeight="1" x14ac:dyDescent="0.25">
      <c r="I47" s="7"/>
    </row>
    <row r="48" spans="9:9" ht="15" customHeight="1" x14ac:dyDescent="0.25">
      <c r="I48" s="7"/>
    </row>
    <row r="49" spans="9:9" ht="15" customHeight="1" x14ac:dyDescent="0.25">
      <c r="I49" s="7"/>
    </row>
    <row r="50" spans="9:9" ht="15" customHeight="1" x14ac:dyDescent="0.25">
      <c r="I50" s="7"/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D220-5D90-4D1E-9BC9-C085A68882E5}">
  <dimension ref="A1:M25"/>
  <sheetViews>
    <sheetView zoomScale="145" zoomScaleNormal="145" workbookViewId="0">
      <selection activeCell="L2" sqref="L2:L25"/>
    </sheetView>
  </sheetViews>
  <sheetFormatPr defaultRowHeight="15" x14ac:dyDescent="0.25"/>
  <sheetData>
    <row r="1" spans="1:13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6" t="s">
        <v>383</v>
      </c>
      <c r="I1" s="6" t="s">
        <v>392</v>
      </c>
      <c r="J1" s="6" t="s">
        <v>393</v>
      </c>
      <c r="K1" s="6" t="s">
        <v>394</v>
      </c>
      <c r="L1" s="6" t="s">
        <v>395</v>
      </c>
      <c r="M1" s="6" t="s">
        <v>399</v>
      </c>
    </row>
    <row r="2" spans="1:13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7">
        <f t="shared" ref="I2:I24" si="0">LN(L2)</f>
        <v>4.8790164169432049E-2</v>
      </c>
      <c r="J2">
        <v>1</v>
      </c>
      <c r="K2">
        <v>1</v>
      </c>
      <c r="L2">
        <f>NZ!L2</f>
        <v>1.05</v>
      </c>
      <c r="M2">
        <v>0</v>
      </c>
    </row>
    <row r="3" spans="1:13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v>0</v>
      </c>
      <c r="I3" s="7">
        <f t="shared" si="0"/>
        <v>6.2693069338423404E-2</v>
      </c>
      <c r="J3">
        <v>1</v>
      </c>
      <c r="K3">
        <v>1</v>
      </c>
      <c r="L3">
        <f>NZ!L3</f>
        <v>1.0647</v>
      </c>
      <c r="M3">
        <v>0</v>
      </c>
    </row>
    <row r="4" spans="1:13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v>0</v>
      </c>
      <c r="I4" s="7">
        <f t="shared" si="0"/>
        <v>9.2251871579968003E-2</v>
      </c>
      <c r="J4">
        <v>1</v>
      </c>
      <c r="K4">
        <v>1</v>
      </c>
      <c r="L4">
        <f>NZ!L4</f>
        <v>1.0966410000000002</v>
      </c>
      <c r="M4">
        <v>0</v>
      </c>
    </row>
    <row r="5" spans="1:13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v>0</v>
      </c>
      <c r="I5" s="7">
        <f t="shared" si="0"/>
        <v>0.11205449887614768</v>
      </c>
      <c r="J5">
        <v>1</v>
      </c>
      <c r="K5">
        <v>1</v>
      </c>
      <c r="L5">
        <f>NZ!L5</f>
        <v>1.1185738200000002</v>
      </c>
      <c r="M5">
        <v>0</v>
      </c>
    </row>
    <row r="6" spans="1:13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v>0</v>
      </c>
      <c r="I6" s="7">
        <f t="shared" si="0"/>
        <v>0.12200482972931598</v>
      </c>
      <c r="J6">
        <v>1</v>
      </c>
      <c r="K6">
        <v>1</v>
      </c>
      <c r="L6">
        <f>NZ!L6</f>
        <v>1.1297595582000004</v>
      </c>
      <c r="M6">
        <v>0</v>
      </c>
    </row>
    <row r="7" spans="1:13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v>0</v>
      </c>
      <c r="I7" s="7">
        <f t="shared" si="0"/>
        <v>0.12200482972931598</v>
      </c>
      <c r="J7">
        <v>1</v>
      </c>
      <c r="K7">
        <v>1</v>
      </c>
      <c r="L7">
        <f>NZ!L7</f>
        <v>1.1297595582000004</v>
      </c>
      <c r="M7">
        <v>0</v>
      </c>
    </row>
    <row r="8" spans="1:13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v>0</v>
      </c>
      <c r="I8" s="7">
        <f t="shared" si="0"/>
        <v>0.1119544938758143</v>
      </c>
      <c r="J8">
        <v>1</v>
      </c>
      <c r="K8">
        <v>1</v>
      </c>
      <c r="L8">
        <f>NZ!L8</f>
        <v>1.1184619626180001</v>
      </c>
      <c r="M8">
        <v>0</v>
      </c>
    </row>
    <row r="9" spans="1:13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v>0</v>
      </c>
      <c r="I9" s="7">
        <f t="shared" si="0"/>
        <v>9.1751786558294843E-2</v>
      </c>
      <c r="J9">
        <v>1</v>
      </c>
      <c r="K9">
        <v>1</v>
      </c>
      <c r="L9">
        <f>NZ!L9</f>
        <v>1.0960927233656401</v>
      </c>
      <c r="M9">
        <v>0</v>
      </c>
    </row>
    <row r="10" spans="1:13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v>0</v>
      </c>
      <c r="I10" s="7">
        <f t="shared" si="0"/>
        <v>5.0983209414725103E-2</v>
      </c>
      <c r="J10">
        <v>1</v>
      </c>
      <c r="K10">
        <v>1</v>
      </c>
      <c r="L10">
        <f>NZ!L10</f>
        <v>1.0523052243142641</v>
      </c>
      <c r="M10">
        <v>0</v>
      </c>
    </row>
    <row r="11" spans="1:13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v>0</v>
      </c>
      <c r="I11" s="7">
        <f t="shared" si="0"/>
        <v>-5.5049018499293235E-3</v>
      </c>
      <c r="J11">
        <v>1</v>
      </c>
      <c r="K11">
        <v>1</v>
      </c>
      <c r="L11">
        <f>NZ!L11</f>
        <v>0.99451022235710773</v>
      </c>
      <c r="M11">
        <v>0</v>
      </c>
    </row>
    <row r="12" spans="1:13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v>0</v>
      </c>
      <c r="I12" s="7">
        <f t="shared" si="0"/>
        <v>-5.6798196237479746E-2</v>
      </c>
      <c r="J12">
        <v>1</v>
      </c>
      <c r="K12">
        <v>1</v>
      </c>
      <c r="L12">
        <f>NZ!L12</f>
        <v>0.94478471123925245</v>
      </c>
      <c r="M12">
        <v>0</v>
      </c>
    </row>
    <row r="13" spans="1:13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v>0</v>
      </c>
      <c r="I13" s="7">
        <f t="shared" si="0"/>
        <v>-0.11867359995556725</v>
      </c>
      <c r="J13">
        <v>1</v>
      </c>
      <c r="K13">
        <v>1</v>
      </c>
      <c r="L13">
        <f>NZ!L13</f>
        <v>0.88809762856489727</v>
      </c>
      <c r="M13">
        <v>0</v>
      </c>
    </row>
    <row r="14" spans="1:13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v>0</v>
      </c>
      <c r="I14" s="7">
        <f t="shared" si="0"/>
        <v>-0.19124429279040256</v>
      </c>
      <c r="J14">
        <v>1</v>
      </c>
      <c r="K14">
        <v>1</v>
      </c>
      <c r="L14">
        <f>NZ!L14</f>
        <v>0.82593079456535456</v>
      </c>
      <c r="M14">
        <v>0</v>
      </c>
    </row>
    <row r="15" spans="1:13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v>0</v>
      </c>
      <c r="I15" s="7">
        <f t="shared" si="0"/>
        <v>-0.27462590172945367</v>
      </c>
      <c r="J15">
        <v>1</v>
      </c>
      <c r="K15">
        <v>1</v>
      </c>
      <c r="L15">
        <f>NZ!L15</f>
        <v>0.75985633100012617</v>
      </c>
      <c r="M15">
        <v>0</v>
      </c>
    </row>
    <row r="16" spans="1:13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v>0</v>
      </c>
      <c r="I16" s="7">
        <f t="shared" si="0"/>
        <v>-0.36893658120069489</v>
      </c>
      <c r="J16">
        <v>1</v>
      </c>
      <c r="K16">
        <v>1</v>
      </c>
      <c r="L16">
        <f>NZ!L16</f>
        <v>0.69146926121011487</v>
      </c>
      <c r="M16">
        <v>0</v>
      </c>
    </row>
    <row r="17" spans="1:13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v>0</v>
      </c>
      <c r="I17" s="7">
        <f t="shared" si="0"/>
        <v>-0.47429709685852117</v>
      </c>
      <c r="J17">
        <v>1</v>
      </c>
      <c r="K17">
        <v>1</v>
      </c>
      <c r="L17">
        <f>NZ!L17</f>
        <v>0.6223223350891034</v>
      </c>
      <c r="M17">
        <v>0</v>
      </c>
    </row>
    <row r="18" spans="1:13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v>0</v>
      </c>
      <c r="I18" s="7">
        <f t="shared" si="0"/>
        <v>-0.65152175274855062</v>
      </c>
      <c r="J18">
        <v>1</v>
      </c>
      <c r="K18">
        <v>1</v>
      </c>
      <c r="L18">
        <f>NZ!L18</f>
        <v>0.52125195631777099</v>
      </c>
      <c r="M18">
        <v>0</v>
      </c>
    </row>
    <row r="19" spans="1:13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v>0</v>
      </c>
      <c r="I19" s="7">
        <f t="shared" si="0"/>
        <v>-0.85406421662286991</v>
      </c>
      <c r="J19">
        <v>1</v>
      </c>
      <c r="K19">
        <v>1</v>
      </c>
      <c r="L19">
        <f>NZ!L19</f>
        <v>0.42568135028939014</v>
      </c>
      <c r="M19">
        <v>0</v>
      </c>
    </row>
    <row r="20" spans="1:13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v>0</v>
      </c>
      <c r="I20" s="7">
        <f t="shared" si="0"/>
        <v>-1.0819244884814789</v>
      </c>
      <c r="J20">
        <v>1</v>
      </c>
      <c r="K20">
        <v>1</v>
      </c>
      <c r="L20">
        <f>NZ!L20</f>
        <v>0.33894260643673707</v>
      </c>
      <c r="M20">
        <v>0</v>
      </c>
    </row>
    <row r="21" spans="1:13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v>0</v>
      </c>
      <c r="I21" s="7">
        <f t="shared" si="0"/>
        <v>-1.3351025683243782</v>
      </c>
      <c r="J21">
        <f t="shared" ref="J21:J25" si="1">1+(J20-1)*0.99</f>
        <v>1</v>
      </c>
      <c r="K21">
        <v>1</v>
      </c>
      <c r="L21">
        <f>NZ!L21</f>
        <v>0.2631311851471248</v>
      </c>
      <c r="M21">
        <v>0</v>
      </c>
    </row>
    <row r="22" spans="1:13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v>0</v>
      </c>
      <c r="I22" s="7">
        <f t="shared" si="0"/>
        <v>-1.6135984561515673</v>
      </c>
      <c r="J22">
        <f t="shared" si="1"/>
        <v>1</v>
      </c>
      <c r="K22">
        <v>1</v>
      </c>
      <c r="L22">
        <f>NZ!L22</f>
        <v>0.19916961987075313</v>
      </c>
      <c r="M22">
        <v>0</v>
      </c>
    </row>
    <row r="23" spans="1:13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v>0</v>
      </c>
      <c r="I23" s="7">
        <f t="shared" si="0"/>
        <v>-1.917412151963046</v>
      </c>
      <c r="J23">
        <f t="shared" si="1"/>
        <v>1</v>
      </c>
      <c r="K23">
        <v>1</v>
      </c>
      <c r="L23">
        <f>NZ!L23</f>
        <v>0.14698685000353867</v>
      </c>
      <c r="M23">
        <v>0</v>
      </c>
    </row>
    <row r="24" spans="1:13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v>0</v>
      </c>
      <c r="I24" s="7">
        <f t="shared" si="0"/>
        <v>-2.2072749131897207</v>
      </c>
      <c r="J24">
        <f t="shared" si="1"/>
        <v>1</v>
      </c>
      <c r="K24">
        <v>1</v>
      </c>
      <c r="L24">
        <f>NZ!L24</f>
        <v>0.11</v>
      </c>
      <c r="M24">
        <v>0</v>
      </c>
    </row>
    <row r="25" spans="1:13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v>0</v>
      </c>
      <c r="I25" s="7">
        <f>LN(L25)</f>
        <v>-2.2072749131897207</v>
      </c>
      <c r="J25">
        <f t="shared" si="1"/>
        <v>1</v>
      </c>
      <c r="K25">
        <v>1</v>
      </c>
      <c r="L25">
        <f>NZ!L25</f>
        <v>0.11</v>
      </c>
      <c r="M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0BE3-24BB-4539-A5BE-C150385C53B9}">
  <dimension ref="A1:M25"/>
  <sheetViews>
    <sheetView zoomScale="145" zoomScaleNormal="145" workbookViewId="0">
      <selection activeCell="L16" sqref="L16"/>
    </sheetView>
  </sheetViews>
  <sheetFormatPr defaultRowHeight="15" x14ac:dyDescent="0.25"/>
  <sheetData>
    <row r="1" spans="1:13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6" t="s">
        <v>383</v>
      </c>
      <c r="I1" s="6" t="s">
        <v>392</v>
      </c>
      <c r="J1" s="6" t="s">
        <v>393</v>
      </c>
      <c r="K1" s="6" t="s">
        <v>394</v>
      </c>
      <c r="L1" s="6" t="s">
        <v>396</v>
      </c>
      <c r="M1" s="6" t="s">
        <v>395</v>
      </c>
    </row>
    <row r="2" spans="1:13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7">
        <f t="shared" ref="I2:I24" si="0">LN(M2)</f>
        <v>4.8790164169432049E-2</v>
      </c>
      <c r="J2">
        <v>1</v>
      </c>
      <c r="K2">
        <v>1</v>
      </c>
      <c r="L2">
        <v>0</v>
      </c>
      <c r="M2">
        <f>NZ!L2</f>
        <v>1.05</v>
      </c>
    </row>
    <row r="3" spans="1:13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v>0</v>
      </c>
      <c r="I3" s="7">
        <f t="shared" si="0"/>
        <v>6.2693069338423404E-2</v>
      </c>
      <c r="J3">
        <v>1</v>
      </c>
      <c r="K3">
        <v>1</v>
      </c>
      <c r="L3">
        <v>0</v>
      </c>
      <c r="M3">
        <f>NZ!L3</f>
        <v>1.0647</v>
      </c>
    </row>
    <row r="4" spans="1:13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v>0</v>
      </c>
      <c r="I4" s="7">
        <f t="shared" si="0"/>
        <v>9.2251871579968003E-2</v>
      </c>
      <c r="J4">
        <v>1</v>
      </c>
      <c r="K4">
        <v>1</v>
      </c>
      <c r="L4">
        <v>0</v>
      </c>
      <c r="M4">
        <f>NZ!L4</f>
        <v>1.0966410000000002</v>
      </c>
    </row>
    <row r="5" spans="1:13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v>0</v>
      </c>
      <c r="I5" s="7">
        <f t="shared" si="0"/>
        <v>0.11205449887614768</v>
      </c>
      <c r="J5">
        <v>1</v>
      </c>
      <c r="K5">
        <v>1</v>
      </c>
      <c r="L5">
        <v>0</v>
      </c>
      <c r="M5">
        <f>NZ!L5</f>
        <v>1.1185738200000002</v>
      </c>
    </row>
    <row r="6" spans="1:13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v>0</v>
      </c>
      <c r="I6" s="7">
        <f t="shared" si="0"/>
        <v>0.12200482972931598</v>
      </c>
      <c r="J6">
        <v>1</v>
      </c>
      <c r="K6">
        <v>1</v>
      </c>
      <c r="L6">
        <v>0</v>
      </c>
      <c r="M6">
        <f>NZ!L6</f>
        <v>1.1297595582000004</v>
      </c>
    </row>
    <row r="7" spans="1:13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v>0</v>
      </c>
      <c r="I7" s="7">
        <f t="shared" si="0"/>
        <v>0.12200482972931598</v>
      </c>
      <c r="J7">
        <v>1</v>
      </c>
      <c r="K7">
        <v>1</v>
      </c>
      <c r="L7">
        <v>0</v>
      </c>
      <c r="M7">
        <f>NZ!L7</f>
        <v>1.1297595582000004</v>
      </c>
    </row>
    <row r="8" spans="1:13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v>0</v>
      </c>
      <c r="I8" s="7">
        <f t="shared" si="0"/>
        <v>0.1119544938758143</v>
      </c>
      <c r="J8">
        <v>1</v>
      </c>
      <c r="K8">
        <v>1</v>
      </c>
      <c r="L8">
        <v>0</v>
      </c>
      <c r="M8">
        <f>NZ!L8</f>
        <v>1.1184619626180001</v>
      </c>
    </row>
    <row r="9" spans="1:13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v>0</v>
      </c>
      <c r="I9" s="7">
        <f t="shared" si="0"/>
        <v>9.1751786558294843E-2</v>
      </c>
      <c r="J9">
        <v>1</v>
      </c>
      <c r="K9">
        <v>1</v>
      </c>
      <c r="L9">
        <v>0</v>
      </c>
      <c r="M9">
        <f>NZ!L9</f>
        <v>1.0960927233656401</v>
      </c>
    </row>
    <row r="10" spans="1:13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v>0</v>
      </c>
      <c r="I10" s="7">
        <f t="shared" si="0"/>
        <v>5.0983209414725103E-2</v>
      </c>
      <c r="J10">
        <v>1</v>
      </c>
      <c r="K10">
        <v>1</v>
      </c>
      <c r="L10">
        <v>0</v>
      </c>
      <c r="M10">
        <f>NZ!L10</f>
        <v>1.0523052243142641</v>
      </c>
    </row>
    <row r="11" spans="1:13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v>0</v>
      </c>
      <c r="I11" s="7">
        <f t="shared" si="0"/>
        <v>-5.5049018499293235E-3</v>
      </c>
      <c r="J11">
        <v>1</v>
      </c>
      <c r="K11">
        <v>1</v>
      </c>
      <c r="L11">
        <v>0</v>
      </c>
      <c r="M11">
        <f>NZ!L11</f>
        <v>0.99451022235710773</v>
      </c>
    </row>
    <row r="12" spans="1:13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v>0</v>
      </c>
      <c r="I12" s="7">
        <f t="shared" si="0"/>
        <v>-5.6798196237479746E-2</v>
      </c>
      <c r="J12">
        <v>1</v>
      </c>
      <c r="K12">
        <v>1</v>
      </c>
      <c r="L12">
        <v>0</v>
      </c>
      <c r="M12">
        <f>NZ!L12</f>
        <v>0.94478471123925245</v>
      </c>
    </row>
    <row r="13" spans="1:13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v>0</v>
      </c>
      <c r="I13" s="7">
        <f t="shared" si="0"/>
        <v>-0.11867359995556725</v>
      </c>
      <c r="J13">
        <v>1</v>
      </c>
      <c r="K13">
        <v>1</v>
      </c>
      <c r="L13">
        <v>0</v>
      </c>
      <c r="M13">
        <f>NZ!L13</f>
        <v>0.88809762856489727</v>
      </c>
    </row>
    <row r="14" spans="1:13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v>0</v>
      </c>
      <c r="I14" s="7">
        <f t="shared" si="0"/>
        <v>-0.19124429279040256</v>
      </c>
      <c r="J14">
        <v>1</v>
      </c>
      <c r="K14">
        <v>1</v>
      </c>
      <c r="L14">
        <v>0</v>
      </c>
      <c r="M14">
        <f>NZ!L14</f>
        <v>0.82593079456535456</v>
      </c>
    </row>
    <row r="15" spans="1:13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v>0</v>
      </c>
      <c r="I15" s="7">
        <f t="shared" si="0"/>
        <v>-0.27462590172945367</v>
      </c>
      <c r="J15">
        <v>1</v>
      </c>
      <c r="K15">
        <v>1</v>
      </c>
      <c r="L15">
        <v>0</v>
      </c>
      <c r="M15">
        <f>NZ!L15</f>
        <v>0.75985633100012617</v>
      </c>
    </row>
    <row r="16" spans="1:13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v>0</v>
      </c>
      <c r="I16" s="7">
        <f t="shared" si="0"/>
        <v>-0.36893658120069489</v>
      </c>
      <c r="J16">
        <v>1</v>
      </c>
      <c r="K16">
        <v>1</v>
      </c>
      <c r="L16">
        <v>0</v>
      </c>
      <c r="M16">
        <f>NZ!L16</f>
        <v>0.69146926121011487</v>
      </c>
    </row>
    <row r="17" spans="1:13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v>0</v>
      </c>
      <c r="I17" s="7">
        <f t="shared" si="0"/>
        <v>-0.47429709685852117</v>
      </c>
      <c r="J17">
        <v>1</v>
      </c>
      <c r="K17">
        <v>1</v>
      </c>
      <c r="L17">
        <v>0</v>
      </c>
      <c r="M17">
        <f>NZ!L17</f>
        <v>0.6223223350891034</v>
      </c>
    </row>
    <row r="18" spans="1:13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v>0</v>
      </c>
      <c r="I18" s="7">
        <f t="shared" si="0"/>
        <v>-0.65152175274855062</v>
      </c>
      <c r="J18">
        <v>1</v>
      </c>
      <c r="K18">
        <v>1</v>
      </c>
      <c r="L18">
        <v>0</v>
      </c>
      <c r="M18">
        <f>NZ!L18</f>
        <v>0.52125195631777099</v>
      </c>
    </row>
    <row r="19" spans="1:13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v>0</v>
      </c>
      <c r="I19" s="7">
        <f t="shared" si="0"/>
        <v>-0.85406421662286991</v>
      </c>
      <c r="J19">
        <v>1</v>
      </c>
      <c r="K19">
        <v>1</v>
      </c>
      <c r="L19">
        <v>0</v>
      </c>
      <c r="M19">
        <f>NZ!L19</f>
        <v>0.42568135028939014</v>
      </c>
    </row>
    <row r="20" spans="1:13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v>0</v>
      </c>
      <c r="I20" s="7">
        <f t="shared" si="0"/>
        <v>-1.0819244884814789</v>
      </c>
      <c r="J20">
        <v>1</v>
      </c>
      <c r="K20">
        <v>1</v>
      </c>
      <c r="L20">
        <v>0</v>
      </c>
      <c r="M20">
        <f>NZ!L20</f>
        <v>0.33894260643673707</v>
      </c>
    </row>
    <row r="21" spans="1:13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v>0</v>
      </c>
      <c r="I21" s="7">
        <f t="shared" si="0"/>
        <v>-1.3351025683243782</v>
      </c>
      <c r="J21">
        <f t="shared" ref="J21:J25" si="1">1+(J20-1)*0.99</f>
        <v>1</v>
      </c>
      <c r="K21">
        <v>1</v>
      </c>
      <c r="L21">
        <v>0</v>
      </c>
      <c r="M21">
        <f>NZ!L21</f>
        <v>0.2631311851471248</v>
      </c>
    </row>
    <row r="22" spans="1:13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v>0</v>
      </c>
      <c r="I22" s="7">
        <f t="shared" si="0"/>
        <v>-1.6135984561515673</v>
      </c>
      <c r="J22">
        <f t="shared" si="1"/>
        <v>1</v>
      </c>
      <c r="K22">
        <v>1</v>
      </c>
      <c r="L22">
        <v>0</v>
      </c>
      <c r="M22">
        <f>NZ!L22</f>
        <v>0.19916961987075313</v>
      </c>
    </row>
    <row r="23" spans="1:13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v>0</v>
      </c>
      <c r="I23" s="7">
        <f t="shared" si="0"/>
        <v>-1.917412151963046</v>
      </c>
      <c r="J23">
        <f t="shared" si="1"/>
        <v>1</v>
      </c>
      <c r="K23">
        <v>1</v>
      </c>
      <c r="L23">
        <v>0</v>
      </c>
      <c r="M23">
        <f>NZ!L23</f>
        <v>0.14698685000353867</v>
      </c>
    </row>
    <row r="24" spans="1:13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v>0</v>
      </c>
      <c r="I24" s="7">
        <f t="shared" si="0"/>
        <v>-2.2072749131897207</v>
      </c>
      <c r="J24">
        <f t="shared" si="1"/>
        <v>1</v>
      </c>
      <c r="K24">
        <v>1</v>
      </c>
      <c r="L24">
        <v>0</v>
      </c>
      <c r="M24">
        <f>NZ!L24</f>
        <v>0.11</v>
      </c>
    </row>
    <row r="25" spans="1:13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v>0</v>
      </c>
      <c r="I25" s="7">
        <f>LN(M25)</f>
        <v>-2.2072749131897207</v>
      </c>
      <c r="J25">
        <f t="shared" si="1"/>
        <v>1</v>
      </c>
      <c r="K25">
        <v>1</v>
      </c>
      <c r="L25">
        <v>0</v>
      </c>
      <c r="M25">
        <f>NZ!L25</f>
        <v>0.11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0FAF-0CDA-4B4B-8BEF-2693FD999DD7}">
  <dimension ref="A1:N25"/>
  <sheetViews>
    <sheetView zoomScale="130" zoomScaleNormal="130" workbookViewId="0">
      <selection activeCell="K19" sqref="K19"/>
    </sheetView>
  </sheetViews>
  <sheetFormatPr defaultRowHeight="15" x14ac:dyDescent="0.25"/>
  <sheetData>
    <row r="1" spans="1:14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6" t="s">
        <v>383</v>
      </c>
      <c r="I1" s="6" t="s">
        <v>392</v>
      </c>
      <c r="J1" s="6" t="s">
        <v>393</v>
      </c>
      <c r="K1" s="6" t="s">
        <v>394</v>
      </c>
      <c r="L1" s="6" t="s">
        <v>395</v>
      </c>
      <c r="M1" s="6" t="s">
        <v>399</v>
      </c>
      <c r="N1" s="6" t="s">
        <v>396</v>
      </c>
    </row>
    <row r="2" spans="1:14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7">
        <f t="shared" ref="I2:I24" si="0">LN(L2)</f>
        <v>4.8790164169432049E-2</v>
      </c>
      <c r="J2">
        <v>1</v>
      </c>
      <c r="K2">
        <v>1</v>
      </c>
      <c r="L2">
        <f>NZ!L2</f>
        <v>1.05</v>
      </c>
      <c r="M2">
        <v>0</v>
      </c>
      <c r="N2">
        <f>NZ!M2</f>
        <v>0</v>
      </c>
    </row>
    <row r="3" spans="1:14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v>0</v>
      </c>
      <c r="I3" s="7">
        <f t="shared" si="0"/>
        <v>6.2693069338423404E-2</v>
      </c>
      <c r="J3">
        <v>1</v>
      </c>
      <c r="K3">
        <v>1</v>
      </c>
      <c r="L3">
        <f>NZ!L3</f>
        <v>1.0647</v>
      </c>
      <c r="M3">
        <v>0</v>
      </c>
      <c r="N3">
        <f>NZ!M3</f>
        <v>0</v>
      </c>
    </row>
    <row r="4" spans="1:14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v>0</v>
      </c>
      <c r="I4" s="7">
        <f t="shared" si="0"/>
        <v>9.2251871579968003E-2</v>
      </c>
      <c r="J4">
        <v>1</v>
      </c>
      <c r="K4">
        <v>1</v>
      </c>
      <c r="L4">
        <f>NZ!L4</f>
        <v>1.0966410000000002</v>
      </c>
      <c r="M4">
        <v>0</v>
      </c>
      <c r="N4">
        <f>NZ!M4</f>
        <v>0</v>
      </c>
    </row>
    <row r="5" spans="1:14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v>0</v>
      </c>
      <c r="I5" s="7">
        <f t="shared" si="0"/>
        <v>0.11205449887614768</v>
      </c>
      <c r="J5">
        <v>1</v>
      </c>
      <c r="K5">
        <v>1</v>
      </c>
      <c r="L5">
        <f>NZ!L5</f>
        <v>1.1185738200000002</v>
      </c>
      <c r="M5">
        <v>0</v>
      </c>
      <c r="N5">
        <f>NZ!M5</f>
        <v>0</v>
      </c>
    </row>
    <row r="6" spans="1:14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v>0</v>
      </c>
      <c r="I6" s="7">
        <f t="shared" si="0"/>
        <v>0.12200482972931598</v>
      </c>
      <c r="J6">
        <v>1</v>
      </c>
      <c r="K6">
        <v>1</v>
      </c>
      <c r="L6">
        <f>NZ!L6</f>
        <v>1.1297595582000004</v>
      </c>
      <c r="M6">
        <v>0</v>
      </c>
      <c r="N6">
        <f>NZ!M6</f>
        <v>0</v>
      </c>
    </row>
    <row r="7" spans="1:14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v>0</v>
      </c>
      <c r="I7" s="7">
        <f t="shared" si="0"/>
        <v>0.12200482972931598</v>
      </c>
      <c r="J7">
        <v>1</v>
      </c>
      <c r="K7">
        <v>1</v>
      </c>
      <c r="L7">
        <f>NZ!L7</f>
        <v>1.1297595582000004</v>
      </c>
      <c r="M7">
        <v>0</v>
      </c>
      <c r="N7">
        <f>NZ!M7</f>
        <v>0</v>
      </c>
    </row>
    <row r="8" spans="1:14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v>0</v>
      </c>
      <c r="I8" s="7">
        <f t="shared" si="0"/>
        <v>0.1119544938758143</v>
      </c>
      <c r="J8">
        <v>1</v>
      </c>
      <c r="K8">
        <v>1</v>
      </c>
      <c r="L8">
        <f>NZ!L8</f>
        <v>1.1184619626180001</v>
      </c>
      <c r="M8">
        <v>0</v>
      </c>
      <c r="N8">
        <f>NZ!M8</f>
        <v>0</v>
      </c>
    </row>
    <row r="9" spans="1:14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v>0</v>
      </c>
      <c r="I9" s="7">
        <f t="shared" si="0"/>
        <v>9.1751786558294843E-2</v>
      </c>
      <c r="J9">
        <v>1</v>
      </c>
      <c r="K9">
        <v>1</v>
      </c>
      <c r="L9">
        <f>NZ!L9</f>
        <v>1.0960927233656401</v>
      </c>
      <c r="M9">
        <v>0</v>
      </c>
      <c r="N9">
        <f>NZ!M9</f>
        <v>0</v>
      </c>
    </row>
    <row r="10" spans="1:14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v>0</v>
      </c>
      <c r="I10" s="7">
        <f t="shared" si="0"/>
        <v>5.0983209414725103E-2</v>
      </c>
      <c r="J10">
        <v>1</v>
      </c>
      <c r="K10">
        <v>1</v>
      </c>
      <c r="L10">
        <f>NZ!L10</f>
        <v>1.0523052243142641</v>
      </c>
      <c r="M10">
        <v>0</v>
      </c>
      <c r="N10">
        <f>NZ!M10</f>
        <v>0</v>
      </c>
    </row>
    <row r="11" spans="1:14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v>0</v>
      </c>
      <c r="I11" s="7">
        <f t="shared" si="0"/>
        <v>-5.5049018499293235E-3</v>
      </c>
      <c r="J11">
        <v>1</v>
      </c>
      <c r="K11">
        <v>1</v>
      </c>
      <c r="L11">
        <f>NZ!L11</f>
        <v>0.99451022235710773</v>
      </c>
      <c r="M11">
        <v>0</v>
      </c>
      <c r="N11">
        <f>NZ!M11</f>
        <v>0</v>
      </c>
    </row>
    <row r="12" spans="1:14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v>0</v>
      </c>
      <c r="I12" s="7">
        <f t="shared" si="0"/>
        <v>-5.6798196237479746E-2</v>
      </c>
      <c r="J12">
        <v>1</v>
      </c>
      <c r="K12">
        <v>1</v>
      </c>
      <c r="L12">
        <f>NZ!L12</f>
        <v>0.94478471123925245</v>
      </c>
      <c r="M12">
        <v>0</v>
      </c>
      <c r="N12">
        <f>NZ!M12</f>
        <v>0</v>
      </c>
    </row>
    <row r="13" spans="1:14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v>0</v>
      </c>
      <c r="I13" s="7">
        <f t="shared" si="0"/>
        <v>-0.11867359995556725</v>
      </c>
      <c r="J13">
        <v>1</v>
      </c>
      <c r="K13">
        <v>1</v>
      </c>
      <c r="L13">
        <f>NZ!L13</f>
        <v>0.88809762856489727</v>
      </c>
      <c r="M13">
        <v>0</v>
      </c>
      <c r="N13">
        <f>NZ!M13</f>
        <v>0</v>
      </c>
    </row>
    <row r="14" spans="1:14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v>0</v>
      </c>
      <c r="I14" s="7">
        <f t="shared" si="0"/>
        <v>-0.19124429279040256</v>
      </c>
      <c r="J14">
        <v>1</v>
      </c>
      <c r="K14">
        <v>1</v>
      </c>
      <c r="L14">
        <f>NZ!L14</f>
        <v>0.82593079456535456</v>
      </c>
      <c r="M14">
        <v>0</v>
      </c>
      <c r="N14">
        <f>NZ!M14</f>
        <v>0</v>
      </c>
    </row>
    <row r="15" spans="1:14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v>0</v>
      </c>
      <c r="I15" s="7">
        <f t="shared" si="0"/>
        <v>-0.27462590172945367</v>
      </c>
      <c r="J15">
        <v>1</v>
      </c>
      <c r="K15">
        <v>1</v>
      </c>
      <c r="L15">
        <f>NZ!L15</f>
        <v>0.75985633100012617</v>
      </c>
      <c r="M15">
        <v>0</v>
      </c>
      <c r="N15">
        <f>NZ!M15</f>
        <v>0</v>
      </c>
    </row>
    <row r="16" spans="1:14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v>0</v>
      </c>
      <c r="I16" s="7">
        <f t="shared" si="0"/>
        <v>-0.36893658120069489</v>
      </c>
      <c r="J16">
        <v>1</v>
      </c>
      <c r="K16">
        <v>1</v>
      </c>
      <c r="L16">
        <f>NZ!L16</f>
        <v>0.69146926121011487</v>
      </c>
      <c r="M16">
        <v>0</v>
      </c>
      <c r="N16">
        <f>NZ!M16</f>
        <v>0</v>
      </c>
    </row>
    <row r="17" spans="1:14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v>0</v>
      </c>
      <c r="I17" s="7">
        <f t="shared" si="0"/>
        <v>-0.47429709685852117</v>
      </c>
      <c r="J17">
        <v>1</v>
      </c>
      <c r="K17">
        <v>1</v>
      </c>
      <c r="L17">
        <f>NZ!L17</f>
        <v>0.6223223350891034</v>
      </c>
      <c r="M17">
        <v>0</v>
      </c>
      <c r="N17">
        <f>NZ!M17</f>
        <v>0</v>
      </c>
    </row>
    <row r="18" spans="1:14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v>0</v>
      </c>
      <c r="I18" s="7">
        <f t="shared" si="0"/>
        <v>-0.65152175274855062</v>
      </c>
      <c r="J18">
        <v>1</v>
      </c>
      <c r="K18">
        <v>1</v>
      </c>
      <c r="L18">
        <f>NZ!L18</f>
        <v>0.52125195631777099</v>
      </c>
      <c r="M18">
        <v>0</v>
      </c>
      <c r="N18">
        <f>NZ!M18</f>
        <v>0</v>
      </c>
    </row>
    <row r="19" spans="1:14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v>0</v>
      </c>
      <c r="I19" s="7">
        <f t="shared" si="0"/>
        <v>-0.85406421662286991</v>
      </c>
      <c r="J19">
        <v>1</v>
      </c>
      <c r="K19">
        <v>1</v>
      </c>
      <c r="L19">
        <f>NZ!L19</f>
        <v>0.42568135028939014</v>
      </c>
      <c r="M19">
        <v>0</v>
      </c>
      <c r="N19">
        <f>NZ!M19</f>
        <v>0</v>
      </c>
    </row>
    <row r="20" spans="1:14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v>0</v>
      </c>
      <c r="I20" s="7">
        <f t="shared" si="0"/>
        <v>-1.0819244884814789</v>
      </c>
      <c r="J20">
        <v>1</v>
      </c>
      <c r="K20">
        <v>1</v>
      </c>
      <c r="L20">
        <f>NZ!L20</f>
        <v>0.33894260643673707</v>
      </c>
      <c r="M20">
        <v>0</v>
      </c>
      <c r="N20">
        <f>NZ!M20</f>
        <v>0</v>
      </c>
    </row>
    <row r="21" spans="1:14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v>0</v>
      </c>
      <c r="I21" s="7">
        <f t="shared" si="0"/>
        <v>-1.3351025683243782</v>
      </c>
      <c r="J21">
        <f t="shared" ref="J21:J25" si="1">1+(J20-1)*0.99</f>
        <v>1</v>
      </c>
      <c r="K21">
        <v>1</v>
      </c>
      <c r="L21">
        <f>NZ!L21</f>
        <v>0.2631311851471248</v>
      </c>
      <c r="M21">
        <v>0</v>
      </c>
      <c r="N21">
        <f>NZ!M21</f>
        <v>0</v>
      </c>
    </row>
    <row r="22" spans="1:14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v>0</v>
      </c>
      <c r="I22" s="7">
        <f t="shared" si="0"/>
        <v>-1.6135984561515673</v>
      </c>
      <c r="J22">
        <f t="shared" si="1"/>
        <v>1</v>
      </c>
      <c r="K22">
        <v>1</v>
      </c>
      <c r="L22">
        <f>NZ!L22</f>
        <v>0.19916961987075313</v>
      </c>
      <c r="M22">
        <v>0</v>
      </c>
      <c r="N22">
        <f>NZ!M22</f>
        <v>0</v>
      </c>
    </row>
    <row r="23" spans="1:14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v>0</v>
      </c>
      <c r="I23" s="7">
        <f t="shared" si="0"/>
        <v>-1.917412151963046</v>
      </c>
      <c r="J23">
        <f t="shared" si="1"/>
        <v>1</v>
      </c>
      <c r="K23">
        <v>1</v>
      </c>
      <c r="L23">
        <f>NZ!L23</f>
        <v>0.14698685000353867</v>
      </c>
      <c r="M23">
        <v>0</v>
      </c>
      <c r="N23">
        <f>NZ!M23</f>
        <v>0</v>
      </c>
    </row>
    <row r="24" spans="1:14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v>0</v>
      </c>
      <c r="I24" s="7">
        <f t="shared" si="0"/>
        <v>-2.2072749131897207</v>
      </c>
      <c r="J24">
        <f t="shared" si="1"/>
        <v>1</v>
      </c>
      <c r="K24">
        <v>1</v>
      </c>
      <c r="L24">
        <f>NZ!L24</f>
        <v>0.11</v>
      </c>
      <c r="M24">
        <v>0</v>
      </c>
      <c r="N24">
        <f>NZ!M24</f>
        <v>0</v>
      </c>
    </row>
    <row r="25" spans="1:14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v>0</v>
      </c>
      <c r="I25" s="7">
        <f>LN(L25)</f>
        <v>-2.2072749131897207</v>
      </c>
      <c r="J25">
        <f t="shared" si="1"/>
        <v>1</v>
      </c>
      <c r="K25">
        <v>1</v>
      </c>
      <c r="L25">
        <f>NZ!L25</f>
        <v>0.11</v>
      </c>
      <c r="M25">
        <v>0</v>
      </c>
      <c r="N25">
        <f>NZ!M25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100</vt:i4>
      </vt:variant>
    </vt:vector>
  </HeadingPairs>
  <TitlesOfParts>
    <vt:vector size="109" baseType="lpstr">
      <vt:lpstr>Content</vt:lpstr>
      <vt:lpstr>Data</vt:lpstr>
      <vt:lpstr>Start</vt:lpstr>
      <vt:lpstr>Structural Parameters</vt:lpstr>
      <vt:lpstr>Baseline</vt:lpstr>
      <vt:lpstr>NZ</vt:lpstr>
      <vt:lpstr>NZ_constEE</vt:lpstr>
      <vt:lpstr>NZ_constInt</vt:lpstr>
      <vt:lpstr>NZ_constEEInt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Christoph Schult</cp:lastModifiedBy>
  <cp:revision>9</cp:revision>
  <dcterms:modified xsi:type="dcterms:W3CDTF">2025-06-17T21:09:00Z</dcterms:modified>
  <dc:language>en-US</dc:language>
</cp:coreProperties>
</file>