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1B58E7E1-2C89-4447-9D07-186304CC0EBE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README" sheetId="1" r:id="rId1"/>
    <sheet name="Context" sheetId="2" r:id="rId2"/>
    <sheet name="Assumption_Dictionary" sheetId="3" r:id="rId3"/>
    <sheet name="PV_Yield_Source" sheetId="4" r:id="rId4"/>
    <sheet name="PDP8_revised" sheetId="5" r:id="rId5"/>
    <sheet name="PDP8_PV_EV_BESS" sheetId="6" r:id="rId6"/>
    <sheet name="Directive10_RTS_EE" sheetId="7" r:id="rId7"/>
    <sheet name="EE_PDP8_referenc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6" l="1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E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tc={2D7CE116-C2FF-45C2-9F4D-731CCF260025}</author>
    <author>tc={DCDAA89E-F8A2-4722-8984-9659BAE595D5}</author>
  </authors>
  <commentList>
    <comment ref="C6" authorId="0" shapeId="0" xr:uid="{2D7CE116-C2FF-45C2-9F4D-731CCF260025}">
      <text>
        <t>[Threaded comment]
Your version of Excel allows you to read this threaded comment; however, any edits to it will get removed if the file is opened in a newer version of Excel. Learn more: https://go.microsoft.com/fwlink/?linkid=870924
Comment:
    10 Percent of PDP8 Revised</t>
      </text>
    </comment>
    <comment ref="C10" authorId="1" shapeId="0" xr:uid="{DCDAA89E-F8A2-4722-8984-9659BAE595D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20 Percent of RTS in PDP8 
</t>
      </text>
    </comment>
  </commentList>
</comments>
</file>

<file path=xl/sharedStrings.xml><?xml version="1.0" encoding="utf-8"?>
<sst xmlns="http://schemas.openxmlformats.org/spreadsheetml/2006/main" count="373" uniqueCount="144">
  <si>
    <t>Scenario</t>
  </si>
  <si>
    <t>PDP8_revised</t>
  </si>
  <si>
    <t>Policy note</t>
  </si>
  <si>
    <t>Emissions tax / official PDP8 reference</t>
  </si>
  <si>
    <t>Editing note</t>
  </si>
  <si>
    <t xml:space="preserve">Edit expert assumption columns as needed. </t>
  </si>
  <si>
    <t>Year</t>
  </si>
  <si>
    <t>Policy_Mode</t>
  </si>
  <si>
    <t>RTS_Capacity_GW</t>
  </si>
  <si>
    <t>RTS_CapacityFactor</t>
  </si>
  <si>
    <t>RTS_Generation_TWh</t>
  </si>
  <si>
    <t>PV_Integration_Gain_pct</t>
  </si>
  <si>
    <t>PV_Capex_USD_per_kW</t>
  </si>
  <si>
    <t>PV_Annual_Investment_USDbn</t>
  </si>
  <si>
    <t>BESS_Power_GW</t>
  </si>
  <si>
    <t>BESS_Energy_GWh</t>
  </si>
  <si>
    <t>BESS_Duration_h</t>
  </si>
  <si>
    <t>BESS_RTE_pct</t>
  </si>
  <si>
    <t>BESS_Capex_USD_per_kWh</t>
  </si>
  <si>
    <t>BESS_Annual_Investment_USDbn</t>
  </si>
  <si>
    <t>Office_RTS_Penetration_pct</t>
  </si>
  <si>
    <t>Residential_RTS_Penetration_pct</t>
  </si>
  <si>
    <t>EV_Bike_Share_pct</t>
  </si>
  <si>
    <t>EV_Car_Share_pct</t>
  </si>
  <si>
    <t>EV_Bus_Share_pct</t>
  </si>
  <si>
    <t>EV_Truck_Share_pct</t>
  </si>
  <si>
    <t>EV_Load_TWh</t>
  </si>
  <si>
    <t>FUEL_Displaced_TWh</t>
  </si>
  <si>
    <t>Net_FinalEnergy_Saving_TWh</t>
  </si>
  <si>
    <t>DSM_Electricity_Saving_pct</t>
  </si>
  <si>
    <t>Peak_Load_Reduction_MW</t>
  </si>
  <si>
    <t>Public_Infra_Investment_USDbn</t>
  </si>
  <si>
    <t>Industry_EE_Saving_pct</t>
  </si>
  <si>
    <t>Services_EE_Saving_pct</t>
  </si>
  <si>
    <t>Households_EE_Saving_pct</t>
  </si>
  <si>
    <t>Agriculture_EE_Saving_pct</t>
  </si>
  <si>
    <t>Industry_EE_Investment_USDm</t>
  </si>
  <si>
    <t>Services_EE_Investment_USDm</t>
  </si>
  <si>
    <t>Households_EE_Investment_USDm</t>
  </si>
  <si>
    <t>Agriculture_EE_Investment_USDm</t>
  </si>
  <si>
    <t>Total_EE_Investment_USDm</t>
  </si>
  <si>
    <t>Vietnam Energy Expert Scenario Inputs</t>
  </si>
  <si>
    <t>Purpose</t>
  </si>
  <si>
    <t>Expert-facing scenario workbook with explicit annual time series for rooftop PV, BESS, EV, DSM and derived DGE proxy inputs.</t>
  </si>
  <si>
    <t>Scenarios</t>
  </si>
  <si>
    <t>PDP8_revised, PDP8_PV_EV_BESS, Directive10_RTS_EE</t>
  </si>
  <si>
    <t>Updated rooftop PV source</t>
  </si>
  <si>
    <t>RTS_CapacityFactor and RTS_Generation_TWh in PV scenario sheets now use the national-average 2025 PVout coefficients from the expert file PV out for rooftop..xlsx.</t>
  </si>
  <si>
    <t>National annual PVout = 1239.9999999999998 kWh/kWp/year, implying a physical rooftop capacity factor of 0.141552511.</t>
  </si>
  <si>
    <t>PV_Integration_Gain_pct remains a separate integration/usable-output uplift and is not folded into the physical capacity factor.</t>
  </si>
  <si>
    <t>Workbook Context</t>
  </si>
  <si>
    <t>Sheet</t>
  </si>
  <si>
    <t>README</t>
  </si>
  <si>
    <t>High-level workbook overview, proxy mapping rules, and usage notes for the scenario-input workbook.</t>
  </si>
  <si>
    <t>Context</t>
  </si>
  <si>
    <t>Short guide to what each sheet contains and how the workbook is organized.</t>
  </si>
  <si>
    <t>Assumption_Dictionary</t>
  </si>
  <si>
    <t>Definition of each assumption column and DGE proxy field used across scenario sheets.</t>
  </si>
  <si>
    <t>Reference scenario with explicit annual assumptions for rooftop PV, BESS, EV, DSM</t>
  </si>
  <si>
    <t>PDP8_PV_EV_BESS</t>
  </si>
  <si>
    <t>Accelerated rollout scenario for rooftop PV, EVs, and BESS with annual physical and policy assumptions.</t>
  </si>
  <si>
    <t>Directive10_RTS_EE</t>
  </si>
  <si>
    <t>Scenario reflecting Prime Minister Directive 10/CT-TTg using annual RTS, BESS, DSM, and EE assumptions.</t>
  </si>
  <si>
    <t>EE_PDP8_reference</t>
  </si>
  <si>
    <t>Energy-efficiency baseline sheet with annual sector EE savings, investments</t>
  </si>
  <si>
    <t>How To Use</t>
  </si>
  <si>
    <t>Edit assumption series in the scenario sheets first. Use the DGE_* columns as export-ready proxy inputs for the current model framework.</t>
  </si>
  <si>
    <t>PV data source</t>
  </si>
  <si>
    <t>A dedicated sheet named PV_Yield_Source documents the 2025 national-average rooftop PV coefficients used to set the physical RTS capacity factor in the scenario sheets.</t>
  </si>
  <si>
    <t>Column</t>
  </si>
  <si>
    <t>Meaning</t>
  </si>
  <si>
    <t>Narrative tag for the scenario policy design.</t>
  </si>
  <si>
    <t>Installed rooftop solar capacity.</t>
  </si>
  <si>
    <t>Average annual rooftop solar capacity factor.</t>
  </si>
  <si>
    <t>Rooftop generation implied by capacity and CF.</t>
  </si>
  <si>
    <t>Additional usable PV output enabled by BESS and system integration.</t>
  </si>
  <si>
    <t>Indicative rooftop PV investment cost.</t>
  </si>
  <si>
    <t>Approximate annual incremental PV investment.</t>
  </si>
  <si>
    <t>Installed battery discharge power.</t>
  </si>
  <si>
    <t>Installed battery energy volume.</t>
  </si>
  <si>
    <t>Average battery duration in hours.</t>
  </si>
  <si>
    <t>Battery round-trip efficiency.</t>
  </si>
  <si>
    <t>Indicative battery capex per energy unit.</t>
  </si>
  <si>
    <t>Approximate annual incremental BESS investment.</t>
  </si>
  <si>
    <t>Indicative cumulative share of office buildings with RTS.</t>
  </si>
  <si>
    <t>Indicative cumulative share of households with RTS.</t>
  </si>
  <si>
    <t>Share of two-wheelers that are electric.</t>
  </si>
  <si>
    <t>Share of passenger cars that are electric.</t>
  </si>
  <si>
    <t>Share of buses that are electric.</t>
  </si>
  <si>
    <t>Share of trucks that are electric.</t>
  </si>
  <si>
    <t>Additional electricity demand from EV charging.</t>
  </si>
  <si>
    <t>Fossil fuel demand displaced by EVs.</t>
  </si>
  <si>
    <t>Net final-energy reduction after electrification efficiency gains.</t>
  </si>
  <si>
    <t>Electricity saving from DSM/EE relative to counterfactual demand.</t>
  </si>
  <si>
    <t>Peak demand reduction achieved by DSM/DR/BESS.</t>
  </si>
  <si>
    <t>Public or utility-enabled infrastructure support spending.</t>
  </si>
  <si>
    <t>Emissions_Index_2026eq1</t>
  </si>
  <si>
    <t>Scenario emissions index normalized to 1 in 2026.</t>
  </si>
  <si>
    <t>Annual sector energy saving versus counterfactual for manufacturing/industry. 2030 target from note: 7.4%.</t>
  </si>
  <si>
    <t>Annual sector energy saving versus counterfactual for services/commercial buildings. 2030 target: 5.1%.</t>
  </si>
  <si>
    <t>Annual sector energy saving versus counterfactual for households/residential demand. 2030 target: 11.6%.</t>
  </si>
  <si>
    <t>Annual sector energy saving proxy for agriculture. Conservative 2030 anchor: 10%.</t>
  </si>
  <si>
    <t>Annual industry EE investment. Note anchor: USD 210 million/year.</t>
  </si>
  <si>
    <t>Annual services/buildings EE investment. Note anchor: USD 47 million/year.</t>
  </si>
  <si>
    <t>Annual household EE investment. Note anchor: USD 104 million/year.</t>
  </si>
  <si>
    <t>Annual agriculture EE investment proxy. Working anchor: USD 100 million/year.</t>
  </si>
  <si>
    <t>Sum of annual sector EE investment assumptions.</t>
  </si>
  <si>
    <t>EE_Rebound_pct</t>
  </si>
  <si>
    <t>Share of direct engineering savings offset by higher output/activity.</t>
  </si>
  <si>
    <t>Regional_EE_Index</t>
  </si>
  <si>
    <t>Composite regional energy-efficiency index used to discipline exo_EE_1.</t>
  </si>
  <si>
    <t>Rooftop PV Yield Source Used For Workbook Calibration</t>
  </si>
  <si>
    <t>Source file</t>
  </si>
  <si>
    <t>c:\Users\nb\Dropbox\2025_GIZ_Vietnam\Data\Experts\PV out for rooftop..xlsx</t>
  </si>
  <si>
    <t>Source description</t>
  </si>
  <si>
    <t>THEORETICAL PVout COEFFICIENTS BY MONTH FOR YEAR 2025, unit kWh/kWp, using the national average row from the expert file.</t>
  </si>
  <si>
    <t>National annual total</t>
  </si>
  <si>
    <t>kWh/kWp/year</t>
  </si>
  <si>
    <t>National monthly average</t>
  </si>
  <si>
    <t>kWh/kWp/month</t>
  </si>
  <si>
    <t>Hours per year</t>
  </si>
  <si>
    <t>Implied physical capacity factor</t>
  </si>
  <si>
    <t>Used to overwrite RTS_CapacityFactor in scenario sheets</t>
  </si>
  <si>
    <t>Month</t>
  </si>
  <si>
    <t>National average PVout (kWh/kWp)</t>
  </si>
  <si>
    <t>Monthly implied CF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</si>
  <si>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</si>
  <si>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</si>
  <si>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</si>
  <si>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</si>
  <si>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</si>
  <si>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</si>
  <si>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</si>
  <si>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</si>
  <si>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</si>
  <si>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</si>
  <si>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</si>
  <si>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</si>
  <si>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Accelerated PV + EV + BESS rollout / emissions tax</t>
  </si>
  <si>
    <t>Edit expert assumption columns as needed.</t>
  </si>
  <si>
    <t>PM Directive 10/CT-TTg proxy</t>
  </si>
  <si>
    <t>No additional carbon policy / baseline EE trend</t>
  </si>
  <si>
    <t>Implementation note</t>
  </si>
  <si>
    <t xml:space="preserve">Sector savings and investment series are explicit.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</si>
</sst>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sz val="9"/>
      <color indexed="81"/>
      <name val="Tahoma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D9EAF7"/>
      </patternFill>
    </fill>
    <fill>
      <patternFill patternType="solid">
        <fgColor rgb="FFF4F6F8"/>
      </patternFill>
    </fill>
    <fill>
      <patternFill patternType="solid">
        <fgColor rgb="FFF4F6F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0" applyFont="1"/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/>
    <xf numFmtId="0" fontId="0" fillId="0" borderId="0" xfId="0" applyAlignment="1">
      <alignment wrapText="1"/>
    </xf>
    <xf numFmtId="0" fontId="4" fillId="0" borderId="0" xfId="0" applyFont="1"/>
    <xf numFmtId="0" fontId="5" fillId="6" borderId="0" xfId="0" applyFont="1" applyFill="1" applyAlignment="1">
      <alignment horizontal="center" vertical="center" wrapText="1"/>
    </xf>
    <xf numFmtId="0" fontId="5" fillId="7" borderId="0" xfId="0" applyFont="1" applyFill="1"/>
    <xf numFmtId="0" fontId="7" fillId="0" borderId="0" xfId="0" applyFont="1"/>
    <xf numFmtId="0" fontId="6" fillId="0" borderId="0" xfId="0" applyFont="1"/>
    <xf numFmtId="0" fontId="7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ph Schult" id="{72901E29-3D85-4D53-B7CF-4D1E458A26BD}" userId="df793410cabaf74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6-05-11T06:50:39.68" personId="{72901E29-3D85-4D53-B7CF-4D1E458A26BD}" id="{2D7CE116-C2FF-45C2-9F4D-731CCF260025}">
    <text>10 Percent of PDP8 Revised</text>
  </threadedComment>
  <threadedComment ref="C10" dT="2026-05-11T06:49:58.26" personId="{72901E29-3D85-4D53-B7CF-4D1E458A26BD}" id="{DCDAA89E-F8A2-4722-8984-9659BAE595D5}">
    <text xml:space="preserve">20 Percent of RTS in PDP8 
</text>
  </threadedComment>
</ThreadedComment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A51" sqref="A51"/>
    </sheetView>
  </sheetViews>
  <sheetFormatPr defaultRowHeight="15" x14ac:dyDescent="0.25"/>
  <cols>
    <col min="1" max="2" width="78.5703125" customWidth="1"/>
  </cols>
  <sheetData>
    <row r="1" spans="1:2" ht="31.5" customHeight="1" x14ac:dyDescent="0.25">
      <c r="A1" s="1" t="s">
        <v>41</v>
      </c>
    </row>
    <row r="3" spans="1:2" ht="35.25" customHeight="1" x14ac:dyDescent="0.25">
      <c r="A3" s="2" t="s">
        <v>42</v>
      </c>
      <c r="B3" s="2" t="s">
        <v>43</v>
      </c>
    </row>
    <row r="4" spans="1:2" ht="28.5" customHeight="1" x14ac:dyDescent="0.25">
      <c r="A4" s="2" t="s">
        <v>44</v>
      </c>
      <c r="B4" s="2" t="s">
        <v>45</v>
      </c>
    </row>
    <row r="7" spans="1:2" x14ac:dyDescent="0.25">
      <c r="A7" s="5"/>
    </row>
    <row r="15" spans="1:2" x14ac:dyDescent="0.25">
      <c r="A15" s="12" t="s">
        <v>46</v>
      </c>
      <c r="B15" t="s">
        <v>47</v>
      </c>
    </row>
    <row r="16" spans="1:2" x14ac:dyDescent="0.25">
      <c r="B16" t="s">
        <v>48</v>
      </c>
    </row>
    <row r="17" spans="2:2" x14ac:dyDescent="0.25">
      <c r="B17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zoomScale="175" zoomScaleNormal="175" workbookViewId="0">
      <selection activeCell="A11" sqref="A11:XFD11"/>
    </sheetView>
  </sheetViews>
  <sheetFormatPr defaultRowHeight="15" x14ac:dyDescent="0.25"/>
  <cols>
    <col min="1" max="1" width="22" customWidth="1"/>
    <col min="2" max="2" width="90" customWidth="1"/>
  </cols>
  <sheetData>
    <row r="1" spans="1:2" ht="18.75" customHeight="1" x14ac:dyDescent="0.3">
      <c r="A1" s="9" t="s">
        <v>50</v>
      </c>
    </row>
    <row r="3" spans="1:2" x14ac:dyDescent="0.25">
      <c r="A3" s="10" t="s">
        <v>51</v>
      </c>
      <c r="B3" s="10" t="s">
        <v>42</v>
      </c>
    </row>
    <row r="4" spans="1:2" ht="30" customHeight="1" x14ac:dyDescent="0.25">
      <c r="A4" s="2" t="s">
        <v>52</v>
      </c>
      <c r="B4" s="2" t="s">
        <v>53</v>
      </c>
    </row>
    <row r="5" spans="1:2" x14ac:dyDescent="0.25">
      <c r="A5" s="2" t="s">
        <v>54</v>
      </c>
      <c r="B5" s="2" t="s">
        <v>55</v>
      </c>
    </row>
    <row r="6" spans="1:2" x14ac:dyDescent="0.25">
      <c r="A6" s="2" t="s">
        <v>56</v>
      </c>
      <c r="B6" s="2" t="s">
        <v>57</v>
      </c>
    </row>
    <row r="7" spans="1:2" x14ac:dyDescent="0.25">
      <c r="A7" s="2" t="s">
        <v>1</v>
      </c>
      <c r="B7" s="2" t="s">
        <v>58</v>
      </c>
    </row>
    <row r="8" spans="1:2" ht="30" customHeight="1" x14ac:dyDescent="0.25">
      <c r="A8" s="2" t="s">
        <v>59</v>
      </c>
      <c r="B8" s="2" t="s">
        <v>60</v>
      </c>
    </row>
    <row r="9" spans="1:2" ht="30" customHeight="1" x14ac:dyDescent="0.25">
      <c r="A9" s="2" t="s">
        <v>61</v>
      </c>
      <c r="B9" s="2" t="s">
        <v>62</v>
      </c>
    </row>
    <row r="10" spans="1:2" x14ac:dyDescent="0.25">
      <c r="A10" s="2" t="s">
        <v>63</v>
      </c>
      <c r="B10" s="2" t="s">
        <v>64</v>
      </c>
    </row>
    <row r="13" spans="1:2" ht="30" customHeight="1" x14ac:dyDescent="0.25">
      <c r="A13" s="11" t="s">
        <v>65</v>
      </c>
      <c r="B13" s="8" t="s">
        <v>66</v>
      </c>
    </row>
    <row r="16" spans="1:2" x14ac:dyDescent="0.25">
      <c r="A16" t="s">
        <v>67</v>
      </c>
      <c r="B16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8"/>
  <sheetViews>
    <sheetView zoomScale="160" zoomScaleNormal="160" workbookViewId="0">
      <selection activeCell="B6" sqref="B6"/>
    </sheetView>
  </sheetViews>
  <sheetFormatPr defaultRowHeight="15" x14ac:dyDescent="0.25"/>
  <cols>
    <col min="1" max="1" width="36.140625" customWidth="1"/>
    <col min="2" max="2" width="98.28515625" style="8" bestFit="1" customWidth="1"/>
  </cols>
  <sheetData>
    <row r="1" spans="1:2" x14ac:dyDescent="0.25">
      <c r="A1" s="3" t="s">
        <v>69</v>
      </c>
      <c r="B1" s="3" t="s">
        <v>70</v>
      </c>
    </row>
    <row r="2" spans="1:2" x14ac:dyDescent="0.25">
      <c r="A2" s="2" t="s">
        <v>7</v>
      </c>
      <c r="B2" s="2" t="s">
        <v>71</v>
      </c>
    </row>
    <row r="3" spans="1:2" x14ac:dyDescent="0.25">
      <c r="A3" s="2" t="s">
        <v>8</v>
      </c>
      <c r="B3" s="2" t="s">
        <v>72</v>
      </c>
    </row>
    <row r="4" spans="1:2" x14ac:dyDescent="0.25">
      <c r="A4" s="2" t="s">
        <v>9</v>
      </c>
      <c r="B4" s="2" t="s">
        <v>73</v>
      </c>
    </row>
    <row r="5" spans="1:2" x14ac:dyDescent="0.25">
      <c r="A5" s="2" t="s">
        <v>10</v>
      </c>
      <c r="B5" s="2" t="s">
        <v>74</v>
      </c>
    </row>
    <row r="6" spans="1:2" x14ac:dyDescent="0.25">
      <c r="A6" s="2" t="s">
        <v>11</v>
      </c>
      <c r="B6" s="2" t="s">
        <v>75</v>
      </c>
    </row>
    <row r="7" spans="1:2" x14ac:dyDescent="0.25">
      <c r="A7" s="2" t="s">
        <v>12</v>
      </c>
      <c r="B7" s="2" t="s">
        <v>76</v>
      </c>
    </row>
    <row r="8" spans="1:2" x14ac:dyDescent="0.25">
      <c r="A8" s="2" t="s">
        <v>13</v>
      </c>
      <c r="B8" s="2" t="s">
        <v>77</v>
      </c>
    </row>
    <row r="9" spans="1:2" x14ac:dyDescent="0.25">
      <c r="A9" s="2" t="s">
        <v>14</v>
      </c>
      <c r="B9" s="2" t="s">
        <v>78</v>
      </c>
    </row>
    <row r="10" spans="1:2" x14ac:dyDescent="0.25">
      <c r="A10" s="2" t="s">
        <v>15</v>
      </c>
      <c r="B10" s="2" t="s">
        <v>79</v>
      </c>
    </row>
    <row r="11" spans="1:2" x14ac:dyDescent="0.25">
      <c r="A11" s="2" t="s">
        <v>16</v>
      </c>
      <c r="B11" s="2" t="s">
        <v>80</v>
      </c>
    </row>
    <row r="12" spans="1:2" x14ac:dyDescent="0.25">
      <c r="A12" s="2" t="s">
        <v>17</v>
      </c>
      <c r="B12" s="2" t="s">
        <v>81</v>
      </c>
    </row>
    <row r="13" spans="1:2" x14ac:dyDescent="0.25">
      <c r="A13" s="2" t="s">
        <v>18</v>
      </c>
      <c r="B13" s="2" t="s">
        <v>82</v>
      </c>
    </row>
    <row r="14" spans="1:2" x14ac:dyDescent="0.25">
      <c r="A14" s="2" t="s">
        <v>19</v>
      </c>
      <c r="B14" s="2" t="s">
        <v>83</v>
      </c>
    </row>
    <row r="15" spans="1:2" x14ac:dyDescent="0.25">
      <c r="A15" s="2" t="s">
        <v>20</v>
      </c>
      <c r="B15" s="2" t="s">
        <v>84</v>
      </c>
    </row>
    <row r="16" spans="1:2" x14ac:dyDescent="0.25">
      <c r="A16" s="2" t="s">
        <v>21</v>
      </c>
      <c r="B16" s="2" t="s">
        <v>85</v>
      </c>
    </row>
    <row r="17" spans="1:2" x14ac:dyDescent="0.25">
      <c r="A17" s="2" t="s">
        <v>22</v>
      </c>
      <c r="B17" s="2" t="s">
        <v>86</v>
      </c>
    </row>
    <row r="18" spans="1:2" x14ac:dyDescent="0.25">
      <c r="A18" s="2" t="s">
        <v>23</v>
      </c>
      <c r="B18" s="2" t="s">
        <v>87</v>
      </c>
    </row>
    <row r="19" spans="1:2" x14ac:dyDescent="0.25">
      <c r="A19" s="2" t="s">
        <v>24</v>
      </c>
      <c r="B19" s="2" t="s">
        <v>88</v>
      </c>
    </row>
    <row r="20" spans="1:2" x14ac:dyDescent="0.25">
      <c r="A20" s="2" t="s">
        <v>25</v>
      </c>
      <c r="B20" s="2" t="s">
        <v>89</v>
      </c>
    </row>
    <row r="21" spans="1:2" x14ac:dyDescent="0.25">
      <c r="A21" s="2" t="s">
        <v>26</v>
      </c>
      <c r="B21" s="2" t="s">
        <v>90</v>
      </c>
    </row>
    <row r="22" spans="1:2" x14ac:dyDescent="0.25">
      <c r="A22" s="2" t="s">
        <v>27</v>
      </c>
      <c r="B22" s="2" t="s">
        <v>91</v>
      </c>
    </row>
    <row r="23" spans="1:2" x14ac:dyDescent="0.25">
      <c r="A23" s="2" t="s">
        <v>28</v>
      </c>
      <c r="B23" s="2" t="s">
        <v>92</v>
      </c>
    </row>
    <row r="24" spans="1:2" x14ac:dyDescent="0.25">
      <c r="A24" s="2" t="s">
        <v>29</v>
      </c>
      <c r="B24" s="2" t="s">
        <v>93</v>
      </c>
    </row>
    <row r="25" spans="1:2" x14ac:dyDescent="0.25">
      <c r="A25" s="2" t="s">
        <v>30</v>
      </c>
      <c r="B25" s="2" t="s">
        <v>94</v>
      </c>
    </row>
    <row r="26" spans="1:2" x14ac:dyDescent="0.25">
      <c r="A26" s="2" t="s">
        <v>31</v>
      </c>
      <c r="B26" s="2" t="s">
        <v>95</v>
      </c>
    </row>
    <row r="27" spans="1:2" x14ac:dyDescent="0.25">
      <c r="A27" s="2" t="s">
        <v>96</v>
      </c>
      <c r="B27" s="2" t="s">
        <v>97</v>
      </c>
    </row>
    <row r="28" spans="1:2" x14ac:dyDescent="0.25">
      <c r="A28" t="s">
        <v>32</v>
      </c>
      <c r="B28" s="8" t="s">
        <v>98</v>
      </c>
    </row>
    <row r="29" spans="1:2" x14ac:dyDescent="0.25">
      <c r="A29" t="s">
        <v>33</v>
      </c>
      <c r="B29" s="8" t="s">
        <v>99</v>
      </c>
    </row>
    <row r="30" spans="1:2" x14ac:dyDescent="0.25">
      <c r="A30" t="s">
        <v>34</v>
      </c>
      <c r="B30" s="8" t="s">
        <v>100</v>
      </c>
    </row>
    <row r="31" spans="1:2" x14ac:dyDescent="0.25">
      <c r="A31" t="s">
        <v>35</v>
      </c>
      <c r="B31" s="8" t="s">
        <v>101</v>
      </c>
    </row>
    <row r="32" spans="1:2" x14ac:dyDescent="0.25">
      <c r="A32" t="s">
        <v>36</v>
      </c>
      <c r="B32" s="8" t="s">
        <v>102</v>
      </c>
    </row>
    <row r="33" spans="1:2" x14ac:dyDescent="0.25">
      <c r="A33" t="s">
        <v>37</v>
      </c>
      <c r="B33" s="8" t="s">
        <v>103</v>
      </c>
    </row>
    <row r="34" spans="1:2" x14ac:dyDescent="0.25">
      <c r="A34" t="s">
        <v>38</v>
      </c>
      <c r="B34" s="8" t="s">
        <v>104</v>
      </c>
    </row>
    <row r="35" spans="1:2" x14ac:dyDescent="0.25">
      <c r="A35" t="s">
        <v>39</v>
      </c>
      <c r="B35" s="8" t="s">
        <v>105</v>
      </c>
    </row>
    <row r="36" spans="1:2" x14ac:dyDescent="0.25">
      <c r="A36" t="s">
        <v>40</v>
      </c>
      <c r="B36" s="8" t="s">
        <v>106</v>
      </c>
    </row>
    <row r="37" spans="1:2" x14ac:dyDescent="0.25">
      <c r="A37" t="s">
        <v>107</v>
      </c>
      <c r="B37" s="8" t="s">
        <v>108</v>
      </c>
    </row>
    <row r="38" spans="1:2" x14ac:dyDescent="0.25">
      <c r="A38" t="s">
        <v>109</v>
      </c>
      <c r="B38" s="8" t="s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2"/>
  <sheetViews>
    <sheetView workbookViewId="0"/>
  </sheetViews>
  <sheetFormatPr defaultRowHeight="15" x14ac:dyDescent="0.25"/>
  <sheetData>
    <row r="1" spans="1:3" ht="18.75" x14ac:dyDescent="0.3">
      <c r="A1" s="13" t="s">
        <v>111</v>
      </c>
    </row>
    <row r="3" spans="1:3" x14ac:dyDescent="0.25">
      <c r="A3" s="14" t="s">
        <v>112</v>
      </c>
      <c r="B3" t="s">
        <v>113</v>
      </c>
    </row>
    <row r="4" spans="1:3" x14ac:dyDescent="0.25">
      <c r="A4" s="14" t="s">
        <v>114</v>
      </c>
      <c r="B4" t="s">
        <v>115</v>
      </c>
    </row>
    <row r="5" spans="1:3" x14ac:dyDescent="0.25">
      <c r="A5" s="14" t="s">
        <v>116</v>
      </c>
      <c r="B5">
        <v>1240</v>
      </c>
      <c r="C5" t="s">
        <v>117</v>
      </c>
    </row>
    <row r="6" spans="1:3" x14ac:dyDescent="0.25">
      <c r="A6" s="14" t="s">
        <v>118</v>
      </c>
      <c r="B6">
        <v>103.3333333333333</v>
      </c>
      <c r="C6" t="s">
        <v>119</v>
      </c>
    </row>
    <row r="7" spans="1:3" x14ac:dyDescent="0.25">
      <c r="A7" s="14" t="s">
        <v>120</v>
      </c>
      <c r="B7">
        <v>8760</v>
      </c>
    </row>
    <row r="8" spans="1:3" x14ac:dyDescent="0.25">
      <c r="A8" s="14" t="s">
        <v>121</v>
      </c>
      <c r="B8">
        <v>0.14155251141552511</v>
      </c>
      <c r="C8" t="s">
        <v>122</v>
      </c>
    </row>
    <row r="10" spans="1:3" ht="75" x14ac:dyDescent="0.25">
      <c r="A10" s="15" t="s">
        <v>123</v>
      </c>
      <c r="B10" s="15" t="s">
        <v>124</v>
      </c>
      <c r="C10" s="15" t="s">
        <v>125</v>
      </c>
    </row>
    <row r="11" spans="1:3" x14ac:dyDescent="0.25">
      <c r="A11" t="s">
        <v>126</v>
      </c>
      <c r="B11">
        <v>105.6</v>
      </c>
      <c r="C11">
        <v>0.14465800000000001</v>
      </c>
    </row>
    <row r="12" spans="1:3" x14ac:dyDescent="0.25">
      <c r="A12" t="s">
        <v>127</v>
      </c>
      <c r="B12">
        <v>77</v>
      </c>
      <c r="C12">
        <v>0.105479</v>
      </c>
    </row>
    <row r="13" spans="1:3" x14ac:dyDescent="0.25">
      <c r="A13" t="s">
        <v>128</v>
      </c>
      <c r="B13">
        <v>108.5</v>
      </c>
      <c r="C13">
        <v>0.14863000000000001</v>
      </c>
    </row>
    <row r="14" spans="1:3" x14ac:dyDescent="0.25">
      <c r="A14" t="s">
        <v>129</v>
      </c>
      <c r="B14">
        <v>117.5</v>
      </c>
      <c r="C14">
        <v>0.16095899999999999</v>
      </c>
    </row>
    <row r="15" spans="1:3" x14ac:dyDescent="0.25">
      <c r="A15" t="s">
        <v>130</v>
      </c>
      <c r="B15">
        <v>119.5</v>
      </c>
      <c r="C15">
        <v>0.16369900000000001</v>
      </c>
    </row>
    <row r="16" spans="1:3" x14ac:dyDescent="0.25">
      <c r="A16" t="s">
        <v>131</v>
      </c>
      <c r="B16">
        <v>109.8</v>
      </c>
      <c r="C16">
        <v>0.15041099999999999</v>
      </c>
    </row>
    <row r="17" spans="1:3" x14ac:dyDescent="0.25">
      <c r="A17" t="s">
        <v>132</v>
      </c>
      <c r="B17">
        <v>115.3</v>
      </c>
      <c r="C17">
        <v>0.157945</v>
      </c>
    </row>
    <row r="18" spans="1:3" x14ac:dyDescent="0.25">
      <c r="A18" t="s">
        <v>133</v>
      </c>
      <c r="B18">
        <v>111.9</v>
      </c>
      <c r="C18">
        <v>0.15328800000000001</v>
      </c>
    </row>
    <row r="19" spans="1:3" x14ac:dyDescent="0.25">
      <c r="A19" t="s">
        <v>134</v>
      </c>
      <c r="B19">
        <v>102.3</v>
      </c>
      <c r="C19">
        <v>0.14013700000000001</v>
      </c>
    </row>
    <row r="20" spans="1:3" x14ac:dyDescent="0.25">
      <c r="A20" t="s">
        <v>135</v>
      </c>
      <c r="B20">
        <v>98.8</v>
      </c>
      <c r="C20">
        <v>0.13534199999999999</v>
      </c>
    </row>
    <row r="21" spans="1:3" x14ac:dyDescent="0.25">
      <c r="A21" t="s">
        <v>136</v>
      </c>
      <c r="B21">
        <v>90.6</v>
      </c>
      <c r="C21">
        <v>0.12411</v>
      </c>
    </row>
    <row r="22" spans="1:3" x14ac:dyDescent="0.25">
      <c r="A22" t="s">
        <v>137</v>
      </c>
      <c r="B22">
        <v>83.2</v>
      </c>
      <c r="C22">
        <v>0.113973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0"/>
  <sheetViews>
    <sheetView workbookViewId="0">
      <pane ySplit="5" topLeftCell="A15" activePane="bottomLeft" state="frozen"/>
      <selection activeCell="B41" sqref="B41"/>
      <selection pane="bottomLeft" activeCell="AA31" sqref="AA31"/>
    </sheetView>
  </sheetViews>
  <sheetFormatPr defaultRowHeight="15" x14ac:dyDescent="0.25"/>
  <cols>
    <col min="1" max="2" width="16" customWidth="1"/>
    <col min="3" max="3" width="34" customWidth="1"/>
    <col min="4" max="5" width="16" customWidth="1"/>
    <col min="6" max="6" width="20" customWidth="1"/>
    <col min="7" max="8" width="16" customWidth="1"/>
    <col min="9" max="9" width="22" customWidth="1"/>
    <col min="10" max="14" width="16" customWidth="1"/>
    <col min="15" max="15" width="22" customWidth="1"/>
    <col min="16" max="16" width="20" customWidth="1"/>
    <col min="17" max="26" width="16" customWidth="1"/>
    <col min="27" max="27" width="22" customWidth="1"/>
    <col min="28" max="36" width="16" customWidth="1"/>
  </cols>
  <sheetData>
    <row r="1" spans="1:35" x14ac:dyDescent="0.25">
      <c r="A1" s="4" t="s">
        <v>0</v>
      </c>
      <c r="B1" s="16" t="s">
        <v>1</v>
      </c>
      <c r="C1" s="17"/>
    </row>
    <row r="2" spans="1:35" ht="24" customHeight="1" x14ac:dyDescent="0.25">
      <c r="A2" s="4" t="s">
        <v>2</v>
      </c>
      <c r="B2" s="16" t="s">
        <v>3</v>
      </c>
      <c r="C2" s="17"/>
    </row>
    <row r="3" spans="1:35" ht="52.5" customHeight="1" x14ac:dyDescent="0.25">
      <c r="A3" s="4" t="s">
        <v>4</v>
      </c>
      <c r="B3" s="16" t="s">
        <v>5</v>
      </c>
      <c r="C3" s="17"/>
    </row>
    <row r="4" spans="1:35" x14ac:dyDescent="0.25">
      <c r="C4">
        <v>9.5</v>
      </c>
      <c r="D4">
        <v>0.14000000000000001</v>
      </c>
      <c r="E4">
        <f>C4*D4*365*24</f>
        <v>11650.800000000001</v>
      </c>
    </row>
    <row r="5" spans="1:35" ht="30" customHeigh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6" t="s">
        <v>32</v>
      </c>
      <c r="AB5" s="6" t="s">
        <v>33</v>
      </c>
      <c r="AC5" s="6" t="s">
        <v>34</v>
      </c>
      <c r="AD5" s="6" t="s">
        <v>35</v>
      </c>
      <c r="AE5" s="6" t="s">
        <v>36</v>
      </c>
      <c r="AF5" s="6" t="s">
        <v>37</v>
      </c>
      <c r="AG5" s="6" t="s">
        <v>38</v>
      </c>
      <c r="AH5" s="6" t="s">
        <v>39</v>
      </c>
      <c r="AI5" s="6" t="s">
        <v>40</v>
      </c>
    </row>
    <row r="6" spans="1:35" ht="30" customHeight="1" x14ac:dyDescent="0.25">
      <c r="A6">
        <v>2026</v>
      </c>
      <c r="B6" s="2" t="s">
        <v>3</v>
      </c>
      <c r="C6">
        <v>12</v>
      </c>
      <c r="D6">
        <v>0.14155251099999999</v>
      </c>
      <c r="E6">
        <v>14.88</v>
      </c>
      <c r="F6">
        <v>0.5</v>
      </c>
      <c r="G6">
        <v>780</v>
      </c>
      <c r="H6">
        <v>1.95</v>
      </c>
      <c r="I6">
        <v>0.3</v>
      </c>
      <c r="J6">
        <v>1.2</v>
      </c>
      <c r="K6">
        <v>4</v>
      </c>
      <c r="L6">
        <v>85</v>
      </c>
      <c r="M6">
        <v>300</v>
      </c>
      <c r="N6">
        <v>0.12</v>
      </c>
      <c r="O6">
        <v>0.5</v>
      </c>
      <c r="P6">
        <v>0.3</v>
      </c>
      <c r="Q6">
        <v>0.5</v>
      </c>
      <c r="R6">
        <v>0.3</v>
      </c>
      <c r="S6">
        <v>0.5</v>
      </c>
      <c r="T6">
        <v>0</v>
      </c>
      <c r="U6">
        <v>0.5</v>
      </c>
      <c r="V6">
        <v>0.3</v>
      </c>
      <c r="W6">
        <v>0.1</v>
      </c>
      <c r="X6">
        <v>1</v>
      </c>
      <c r="Y6">
        <v>300</v>
      </c>
      <c r="Z6">
        <v>0.1</v>
      </c>
      <c r="AA6">
        <v>0.8</v>
      </c>
      <c r="AB6">
        <v>0.6</v>
      </c>
      <c r="AC6">
        <v>0.8</v>
      </c>
      <c r="AD6">
        <v>0.6</v>
      </c>
      <c r="AE6">
        <v>126</v>
      </c>
      <c r="AF6">
        <v>26.6</v>
      </c>
      <c r="AG6">
        <v>56</v>
      </c>
      <c r="AH6">
        <v>49</v>
      </c>
      <c r="AI6">
        <v>257.60000000000002</v>
      </c>
    </row>
    <row r="7" spans="1:35" ht="30" customHeight="1" x14ac:dyDescent="0.25">
      <c r="A7">
        <v>2027</v>
      </c>
      <c r="B7" s="2" t="s">
        <v>3</v>
      </c>
      <c r="C7">
        <v>15.25</v>
      </c>
      <c r="D7">
        <v>0.14155251099999999</v>
      </c>
      <c r="E7">
        <v>18.91</v>
      </c>
      <c r="F7">
        <v>0.875</v>
      </c>
      <c r="G7">
        <v>760</v>
      </c>
      <c r="H7">
        <v>2.4700000000000002</v>
      </c>
      <c r="I7">
        <v>0.72499999999999998</v>
      </c>
      <c r="J7">
        <v>2.9</v>
      </c>
      <c r="K7">
        <v>4</v>
      </c>
      <c r="L7">
        <v>85.5</v>
      </c>
      <c r="M7">
        <v>280</v>
      </c>
      <c r="N7">
        <v>0.47599999999999998</v>
      </c>
      <c r="O7">
        <v>1.125</v>
      </c>
      <c r="P7">
        <v>0.72499999999999998</v>
      </c>
      <c r="U7">
        <v>1.125</v>
      </c>
      <c r="V7">
        <v>0.72499999999999998</v>
      </c>
      <c r="W7">
        <v>0.2</v>
      </c>
      <c r="X7">
        <v>1.125</v>
      </c>
      <c r="Y7">
        <v>425</v>
      </c>
      <c r="Z7">
        <v>0.17499999999999999</v>
      </c>
      <c r="AA7">
        <v>1.34</v>
      </c>
      <c r="AB7">
        <v>0.96</v>
      </c>
      <c r="AC7">
        <v>1.76</v>
      </c>
      <c r="AD7">
        <v>1.45</v>
      </c>
      <c r="AE7">
        <v>131.25</v>
      </c>
      <c r="AF7">
        <v>28.175000000000001</v>
      </c>
      <c r="AG7">
        <v>60.2</v>
      </c>
      <c r="AH7">
        <v>54.25</v>
      </c>
      <c r="AI7">
        <v>273.875</v>
      </c>
    </row>
    <row r="8" spans="1:35" ht="30" customHeight="1" x14ac:dyDescent="0.25">
      <c r="A8">
        <v>2028</v>
      </c>
      <c r="B8" s="2" t="s">
        <v>3</v>
      </c>
      <c r="C8">
        <v>18.5</v>
      </c>
      <c r="D8">
        <v>0.14155251099999999</v>
      </c>
      <c r="E8">
        <v>22.94</v>
      </c>
      <c r="F8">
        <v>1.25</v>
      </c>
      <c r="G8">
        <v>740</v>
      </c>
      <c r="H8">
        <v>2.4049999999999998</v>
      </c>
      <c r="I8">
        <v>1.1499999999999999</v>
      </c>
      <c r="J8">
        <v>4.5999999999999996</v>
      </c>
      <c r="K8">
        <v>4</v>
      </c>
      <c r="L8">
        <v>86</v>
      </c>
      <c r="M8">
        <v>260</v>
      </c>
      <c r="N8">
        <v>0.442</v>
      </c>
      <c r="O8">
        <v>1.75</v>
      </c>
      <c r="P8">
        <v>1.1499999999999999</v>
      </c>
      <c r="U8">
        <v>1.75</v>
      </c>
      <c r="V8">
        <v>1.1499999999999999</v>
      </c>
      <c r="W8">
        <v>0.3</v>
      </c>
      <c r="X8">
        <v>1.25</v>
      </c>
      <c r="Y8">
        <v>550</v>
      </c>
      <c r="Z8">
        <v>0.25</v>
      </c>
      <c r="AA8">
        <v>1.88</v>
      </c>
      <c r="AB8">
        <v>1.32</v>
      </c>
      <c r="AC8">
        <v>2.72</v>
      </c>
      <c r="AD8">
        <v>2.2999999999999998</v>
      </c>
      <c r="AE8">
        <v>136.5</v>
      </c>
      <c r="AF8">
        <v>29.75</v>
      </c>
      <c r="AG8">
        <v>64.400000000000006</v>
      </c>
      <c r="AH8">
        <v>59.5</v>
      </c>
      <c r="AI8">
        <v>290.14999999999998</v>
      </c>
    </row>
    <row r="9" spans="1:35" ht="30" customHeight="1" x14ac:dyDescent="0.25">
      <c r="A9">
        <v>2029</v>
      </c>
      <c r="B9" s="2" t="s">
        <v>3</v>
      </c>
      <c r="C9">
        <v>21.75</v>
      </c>
      <c r="D9">
        <v>0.14155251099999999</v>
      </c>
      <c r="E9">
        <v>26.97</v>
      </c>
      <c r="F9">
        <v>1.625</v>
      </c>
      <c r="G9">
        <v>720</v>
      </c>
      <c r="H9">
        <v>2.34</v>
      </c>
      <c r="I9">
        <v>1.575</v>
      </c>
      <c r="J9">
        <v>6.3</v>
      </c>
      <c r="K9">
        <v>4</v>
      </c>
      <c r="L9">
        <v>86.5</v>
      </c>
      <c r="M9">
        <v>240</v>
      </c>
      <c r="N9">
        <v>0.40799999999999997</v>
      </c>
      <c r="O9">
        <v>2.375</v>
      </c>
      <c r="P9">
        <v>1.575</v>
      </c>
      <c r="U9">
        <v>2.375</v>
      </c>
      <c r="V9">
        <v>1.575</v>
      </c>
      <c r="W9">
        <v>0.4</v>
      </c>
      <c r="X9">
        <v>1.375</v>
      </c>
      <c r="Y9">
        <v>675</v>
      </c>
      <c r="Z9">
        <v>0.32500000000000001</v>
      </c>
      <c r="AA9">
        <v>2.42</v>
      </c>
      <c r="AB9">
        <v>1.68</v>
      </c>
      <c r="AC9">
        <v>3.68</v>
      </c>
      <c r="AD9">
        <v>3.15</v>
      </c>
      <c r="AE9">
        <v>141.75</v>
      </c>
      <c r="AF9">
        <v>31.324999999999999</v>
      </c>
      <c r="AG9">
        <v>68.599999999999994</v>
      </c>
      <c r="AH9">
        <v>64.75</v>
      </c>
      <c r="AI9">
        <v>306.42500000000001</v>
      </c>
    </row>
    <row r="10" spans="1:35" ht="30" customHeight="1" x14ac:dyDescent="0.25">
      <c r="A10">
        <v>2030</v>
      </c>
      <c r="B10" s="2" t="s">
        <v>3</v>
      </c>
      <c r="C10">
        <v>25</v>
      </c>
      <c r="D10">
        <v>0.14155251099999999</v>
      </c>
      <c r="E10">
        <v>31</v>
      </c>
      <c r="F10">
        <v>2</v>
      </c>
      <c r="G10">
        <v>700</v>
      </c>
      <c r="H10">
        <v>2.2749999999999999</v>
      </c>
      <c r="I10">
        <v>2</v>
      </c>
      <c r="J10">
        <v>8</v>
      </c>
      <c r="K10">
        <v>4</v>
      </c>
      <c r="L10">
        <v>87</v>
      </c>
      <c r="M10">
        <v>220</v>
      </c>
      <c r="N10">
        <v>0.374</v>
      </c>
      <c r="O10">
        <v>3</v>
      </c>
      <c r="P10">
        <v>2</v>
      </c>
      <c r="U10">
        <v>3</v>
      </c>
      <c r="V10">
        <v>2</v>
      </c>
      <c r="W10">
        <v>0.5</v>
      </c>
      <c r="X10">
        <v>1.5</v>
      </c>
      <c r="Y10">
        <v>800</v>
      </c>
      <c r="Z10">
        <v>0.4</v>
      </c>
      <c r="AA10">
        <v>2.96</v>
      </c>
      <c r="AB10">
        <v>2.04</v>
      </c>
      <c r="AC10">
        <v>4.6399999999999997</v>
      </c>
      <c r="AD10">
        <v>4</v>
      </c>
      <c r="AE10">
        <v>147</v>
      </c>
      <c r="AF10">
        <v>32.9</v>
      </c>
      <c r="AG10">
        <v>72.8</v>
      </c>
      <c r="AH10">
        <v>70</v>
      </c>
      <c r="AI10">
        <v>322.7</v>
      </c>
    </row>
    <row r="11" spans="1:35" ht="30" customHeight="1" x14ac:dyDescent="0.25">
      <c r="A11">
        <v>2031</v>
      </c>
      <c r="B11" s="2" t="s">
        <v>3</v>
      </c>
      <c r="C11">
        <v>28.5</v>
      </c>
      <c r="D11">
        <v>0.14155251099999999</v>
      </c>
      <c r="E11">
        <v>35.340000000000003</v>
      </c>
      <c r="F11">
        <v>2.2999999999999998</v>
      </c>
      <c r="G11">
        <v>690</v>
      </c>
      <c r="H11">
        <v>2.415</v>
      </c>
      <c r="I11">
        <v>2.6</v>
      </c>
      <c r="J11">
        <v>10.4</v>
      </c>
      <c r="K11">
        <v>4</v>
      </c>
      <c r="L11">
        <v>87.1</v>
      </c>
      <c r="M11">
        <v>214</v>
      </c>
      <c r="N11">
        <v>0.51359999999999995</v>
      </c>
      <c r="O11">
        <v>3.4</v>
      </c>
      <c r="P11">
        <v>2.4</v>
      </c>
      <c r="U11">
        <v>3.9</v>
      </c>
      <c r="V11">
        <v>2.8</v>
      </c>
      <c r="W11">
        <v>0.65</v>
      </c>
      <c r="X11">
        <v>1.55</v>
      </c>
      <c r="Y11">
        <v>870</v>
      </c>
      <c r="Z11">
        <v>0.42</v>
      </c>
      <c r="AA11">
        <v>3.024</v>
      </c>
      <c r="AB11">
        <v>2.0840000000000001</v>
      </c>
      <c r="AC11">
        <v>4.6959999999999997</v>
      </c>
      <c r="AD11">
        <v>4.04</v>
      </c>
      <c r="AE11">
        <v>148.05000000000001</v>
      </c>
      <c r="AF11">
        <v>33.25</v>
      </c>
      <c r="AG11">
        <v>73.36</v>
      </c>
      <c r="AH11">
        <v>70.56</v>
      </c>
      <c r="AI11">
        <v>325.22000000000003</v>
      </c>
    </row>
    <row r="12" spans="1:35" ht="30" customHeight="1" x14ac:dyDescent="0.25">
      <c r="A12">
        <v>2032</v>
      </c>
      <c r="B12" s="2" t="s">
        <v>3</v>
      </c>
      <c r="C12">
        <v>32</v>
      </c>
      <c r="D12">
        <v>0.14155251099999999</v>
      </c>
      <c r="E12">
        <v>39.68</v>
      </c>
      <c r="F12">
        <v>2.6</v>
      </c>
      <c r="G12">
        <v>680</v>
      </c>
      <c r="H12">
        <v>2.38</v>
      </c>
      <c r="I12">
        <v>3.2</v>
      </c>
      <c r="J12">
        <v>12.8</v>
      </c>
      <c r="K12">
        <v>4</v>
      </c>
      <c r="L12">
        <v>87.2</v>
      </c>
      <c r="M12">
        <v>208</v>
      </c>
      <c r="N12">
        <v>0.49919999999999998</v>
      </c>
      <c r="O12">
        <v>3.8</v>
      </c>
      <c r="P12">
        <v>2.8</v>
      </c>
      <c r="U12">
        <v>4.8</v>
      </c>
      <c r="V12">
        <v>3.6</v>
      </c>
      <c r="W12">
        <v>0.8</v>
      </c>
      <c r="X12">
        <v>1.6</v>
      </c>
      <c r="Y12">
        <v>940</v>
      </c>
      <c r="Z12">
        <v>0.44</v>
      </c>
      <c r="AA12">
        <v>3.0880000000000001</v>
      </c>
      <c r="AB12">
        <v>2.1280000000000001</v>
      </c>
      <c r="AC12">
        <v>4.7519999999999998</v>
      </c>
      <c r="AD12">
        <v>4.08</v>
      </c>
      <c r="AE12">
        <v>149.1</v>
      </c>
      <c r="AF12">
        <v>33.6</v>
      </c>
      <c r="AG12">
        <v>73.92</v>
      </c>
      <c r="AH12">
        <v>71.12</v>
      </c>
      <c r="AI12">
        <v>327.74</v>
      </c>
    </row>
    <row r="13" spans="1:35" ht="30" customHeight="1" x14ac:dyDescent="0.25">
      <c r="A13">
        <v>2033</v>
      </c>
      <c r="B13" s="2" t="s">
        <v>3</v>
      </c>
      <c r="C13">
        <v>35.5</v>
      </c>
      <c r="D13">
        <v>0.14155251099999999</v>
      </c>
      <c r="E13">
        <v>44.02</v>
      </c>
      <c r="F13">
        <v>2.9</v>
      </c>
      <c r="G13">
        <v>670</v>
      </c>
      <c r="H13">
        <v>2.3450000000000002</v>
      </c>
      <c r="I13">
        <v>3.8</v>
      </c>
      <c r="J13">
        <v>15.2</v>
      </c>
      <c r="K13">
        <v>4</v>
      </c>
      <c r="L13">
        <v>87.3</v>
      </c>
      <c r="M13">
        <v>202</v>
      </c>
      <c r="N13">
        <v>0.48480000000000001</v>
      </c>
      <c r="O13">
        <v>4.2</v>
      </c>
      <c r="P13">
        <v>3.2</v>
      </c>
      <c r="U13">
        <v>5.7</v>
      </c>
      <c r="V13">
        <v>4.4000000000000004</v>
      </c>
      <c r="W13">
        <v>0.95</v>
      </c>
      <c r="X13">
        <v>1.65</v>
      </c>
      <c r="Y13">
        <v>1010</v>
      </c>
      <c r="Z13">
        <v>0.46</v>
      </c>
      <c r="AA13">
        <v>3.1520000000000001</v>
      </c>
      <c r="AB13">
        <v>2.1720000000000002</v>
      </c>
      <c r="AC13">
        <v>4.8079999999999998</v>
      </c>
      <c r="AD13">
        <v>4.12</v>
      </c>
      <c r="AE13">
        <v>150.15</v>
      </c>
      <c r="AF13">
        <v>33.950000000000003</v>
      </c>
      <c r="AG13">
        <v>74.48</v>
      </c>
      <c r="AH13">
        <v>71.680000000000007</v>
      </c>
      <c r="AI13">
        <v>330.26</v>
      </c>
    </row>
    <row r="14" spans="1:35" ht="30" customHeight="1" x14ac:dyDescent="0.25">
      <c r="A14">
        <v>2034</v>
      </c>
      <c r="B14" s="2" t="s">
        <v>3</v>
      </c>
      <c r="C14">
        <v>39</v>
      </c>
      <c r="D14">
        <v>0.14155251099999999</v>
      </c>
      <c r="E14">
        <v>48.36</v>
      </c>
      <c r="F14">
        <v>3.2</v>
      </c>
      <c r="G14">
        <v>660</v>
      </c>
      <c r="H14">
        <v>2.31</v>
      </c>
      <c r="I14">
        <v>4.4000000000000004</v>
      </c>
      <c r="J14">
        <v>17.600000000000001</v>
      </c>
      <c r="K14">
        <v>4</v>
      </c>
      <c r="L14">
        <v>87.4</v>
      </c>
      <c r="M14">
        <v>196</v>
      </c>
      <c r="N14">
        <v>0.47039999999999998</v>
      </c>
      <c r="O14">
        <v>4.5999999999999996</v>
      </c>
      <c r="P14">
        <v>3.6</v>
      </c>
      <c r="U14">
        <v>6.6</v>
      </c>
      <c r="V14">
        <v>5.2</v>
      </c>
      <c r="W14">
        <v>1.1000000000000001</v>
      </c>
      <c r="X14">
        <v>1.7</v>
      </c>
      <c r="Y14">
        <v>1080</v>
      </c>
      <c r="Z14">
        <v>0.48</v>
      </c>
      <c r="AA14">
        <v>3.2160000000000002</v>
      </c>
      <c r="AB14">
        <v>2.2160000000000002</v>
      </c>
      <c r="AC14">
        <v>4.8639999999999999</v>
      </c>
      <c r="AD14">
        <v>4.16</v>
      </c>
      <c r="AE14">
        <v>151.19999999999999</v>
      </c>
      <c r="AF14">
        <v>34.299999999999997</v>
      </c>
      <c r="AG14">
        <v>75.040000000000006</v>
      </c>
      <c r="AH14">
        <v>72.239999999999995</v>
      </c>
      <c r="AI14">
        <v>332.78</v>
      </c>
    </row>
    <row r="15" spans="1:35" ht="30" customHeight="1" x14ac:dyDescent="0.25">
      <c r="A15">
        <v>2035</v>
      </c>
      <c r="B15" s="2" t="s">
        <v>3</v>
      </c>
      <c r="C15">
        <v>42.5</v>
      </c>
      <c r="D15">
        <v>0.14155251099999999</v>
      </c>
      <c r="E15">
        <v>52.7</v>
      </c>
      <c r="F15">
        <v>3.5</v>
      </c>
      <c r="G15">
        <v>650</v>
      </c>
      <c r="H15">
        <v>2.2749999999999999</v>
      </c>
      <c r="I15">
        <v>5</v>
      </c>
      <c r="J15">
        <v>20</v>
      </c>
      <c r="K15">
        <v>4</v>
      </c>
      <c r="L15">
        <v>87.5</v>
      </c>
      <c r="M15">
        <v>190</v>
      </c>
      <c r="N15">
        <v>0.45600000000000002</v>
      </c>
      <c r="O15">
        <v>5</v>
      </c>
      <c r="P15">
        <v>4</v>
      </c>
      <c r="U15">
        <v>7.5</v>
      </c>
      <c r="V15">
        <v>6</v>
      </c>
      <c r="W15">
        <v>1.25</v>
      </c>
      <c r="X15">
        <v>1.75</v>
      </c>
      <c r="Y15">
        <v>1150</v>
      </c>
      <c r="Z15">
        <v>0.5</v>
      </c>
      <c r="AA15">
        <v>3.28</v>
      </c>
      <c r="AB15">
        <v>2.2599999999999998</v>
      </c>
      <c r="AC15">
        <v>4.92</v>
      </c>
      <c r="AD15">
        <v>4.2</v>
      </c>
      <c r="AE15">
        <v>152.25</v>
      </c>
      <c r="AF15">
        <v>34.65</v>
      </c>
      <c r="AG15">
        <v>75.599999999999994</v>
      </c>
      <c r="AH15">
        <v>72.8</v>
      </c>
      <c r="AI15">
        <v>335.3</v>
      </c>
    </row>
    <row r="16" spans="1:35" ht="30" customHeight="1" x14ac:dyDescent="0.25">
      <c r="A16">
        <v>2036</v>
      </c>
      <c r="B16" s="2" t="s">
        <v>3</v>
      </c>
      <c r="C16">
        <v>46</v>
      </c>
      <c r="D16">
        <v>0.14155251099999999</v>
      </c>
      <c r="E16">
        <v>57.04</v>
      </c>
      <c r="F16">
        <v>3.8</v>
      </c>
      <c r="G16">
        <v>640</v>
      </c>
      <c r="H16">
        <v>2.2400000000000002</v>
      </c>
      <c r="I16">
        <v>5.6</v>
      </c>
      <c r="J16">
        <v>22.4</v>
      </c>
      <c r="K16">
        <v>4</v>
      </c>
      <c r="L16">
        <v>87.6</v>
      </c>
      <c r="M16">
        <v>184</v>
      </c>
      <c r="N16">
        <v>0.44159999999999999</v>
      </c>
      <c r="O16">
        <v>5.4</v>
      </c>
      <c r="P16">
        <v>4.4000000000000004</v>
      </c>
      <c r="U16">
        <v>8.4</v>
      </c>
      <c r="V16">
        <v>6.8</v>
      </c>
      <c r="W16">
        <v>1.4</v>
      </c>
      <c r="X16">
        <v>1.8</v>
      </c>
      <c r="Y16">
        <v>1220</v>
      </c>
      <c r="Z16">
        <v>0.52</v>
      </c>
      <c r="AA16">
        <v>3.3439999999999999</v>
      </c>
      <c r="AB16">
        <v>2.3039999999999998</v>
      </c>
      <c r="AC16">
        <v>4.976</v>
      </c>
      <c r="AD16">
        <v>4.24</v>
      </c>
      <c r="AE16">
        <v>153.30000000000001</v>
      </c>
      <c r="AF16">
        <v>35</v>
      </c>
      <c r="AG16">
        <v>76.16</v>
      </c>
      <c r="AH16">
        <v>73.36</v>
      </c>
      <c r="AI16">
        <v>337.82</v>
      </c>
    </row>
    <row r="17" spans="1:35" ht="30" customHeight="1" x14ac:dyDescent="0.25">
      <c r="A17">
        <v>2037</v>
      </c>
      <c r="B17" s="2" t="s">
        <v>3</v>
      </c>
      <c r="C17">
        <v>49.5</v>
      </c>
      <c r="D17">
        <v>0.14155251099999999</v>
      </c>
      <c r="E17">
        <v>61.38</v>
      </c>
      <c r="F17">
        <v>4.0999999999999996</v>
      </c>
      <c r="G17">
        <v>630</v>
      </c>
      <c r="H17">
        <v>2.2050000000000001</v>
      </c>
      <c r="I17">
        <v>6.2</v>
      </c>
      <c r="J17">
        <v>24.8</v>
      </c>
      <c r="K17">
        <v>4</v>
      </c>
      <c r="L17">
        <v>87.7</v>
      </c>
      <c r="M17">
        <v>178</v>
      </c>
      <c r="N17">
        <v>0.42720000000000002</v>
      </c>
      <c r="O17">
        <v>5.8</v>
      </c>
      <c r="P17">
        <v>4.8</v>
      </c>
      <c r="U17">
        <v>9.3000000000000007</v>
      </c>
      <c r="V17">
        <v>7.6</v>
      </c>
      <c r="W17">
        <v>1.55</v>
      </c>
      <c r="X17">
        <v>1.85</v>
      </c>
      <c r="Y17">
        <v>1290</v>
      </c>
      <c r="Z17">
        <v>0.54</v>
      </c>
      <c r="AA17">
        <v>3.4079999999999999</v>
      </c>
      <c r="AB17">
        <v>2.3479999999999999</v>
      </c>
      <c r="AC17">
        <v>5.032</v>
      </c>
      <c r="AD17">
        <v>4.28</v>
      </c>
      <c r="AE17">
        <v>154.35</v>
      </c>
      <c r="AF17">
        <v>35.35</v>
      </c>
      <c r="AG17">
        <v>76.72</v>
      </c>
      <c r="AH17">
        <v>73.92</v>
      </c>
      <c r="AI17">
        <v>340.34</v>
      </c>
    </row>
    <row r="18" spans="1:35" ht="30" customHeight="1" x14ac:dyDescent="0.25">
      <c r="A18">
        <v>2038</v>
      </c>
      <c r="B18" s="2" t="s">
        <v>3</v>
      </c>
      <c r="C18">
        <v>53</v>
      </c>
      <c r="D18">
        <v>0.14155251099999999</v>
      </c>
      <c r="E18">
        <v>65.72</v>
      </c>
      <c r="F18">
        <v>4.4000000000000004</v>
      </c>
      <c r="G18">
        <v>620</v>
      </c>
      <c r="H18">
        <v>2.17</v>
      </c>
      <c r="I18">
        <v>6.8</v>
      </c>
      <c r="J18">
        <v>27.2</v>
      </c>
      <c r="K18">
        <v>4</v>
      </c>
      <c r="L18">
        <v>87.8</v>
      </c>
      <c r="M18">
        <v>172</v>
      </c>
      <c r="N18">
        <v>0.4128</v>
      </c>
      <c r="O18">
        <v>6.2</v>
      </c>
      <c r="P18">
        <v>5.2</v>
      </c>
      <c r="U18">
        <v>10.199999999999999</v>
      </c>
      <c r="V18">
        <v>8.4</v>
      </c>
      <c r="W18">
        <v>1.7</v>
      </c>
      <c r="X18">
        <v>1.9</v>
      </c>
      <c r="Y18">
        <v>1360</v>
      </c>
      <c r="Z18">
        <v>0.56000000000000005</v>
      </c>
      <c r="AA18">
        <v>3.472</v>
      </c>
      <c r="AB18">
        <v>2.3919999999999999</v>
      </c>
      <c r="AC18">
        <v>5.0880000000000001</v>
      </c>
      <c r="AD18">
        <v>4.32</v>
      </c>
      <c r="AE18">
        <v>155.4</v>
      </c>
      <c r="AF18">
        <v>35.700000000000003</v>
      </c>
      <c r="AG18">
        <v>77.28</v>
      </c>
      <c r="AH18">
        <v>74.48</v>
      </c>
      <c r="AI18">
        <v>342.86</v>
      </c>
    </row>
    <row r="19" spans="1:35" ht="30" customHeight="1" x14ac:dyDescent="0.25">
      <c r="A19">
        <v>2039</v>
      </c>
      <c r="B19" s="2" t="s">
        <v>3</v>
      </c>
      <c r="C19">
        <v>56.5</v>
      </c>
      <c r="D19">
        <v>0.14155251099999999</v>
      </c>
      <c r="E19">
        <v>70.06</v>
      </c>
      <c r="F19">
        <v>4.7</v>
      </c>
      <c r="G19">
        <v>610</v>
      </c>
      <c r="H19">
        <v>2.1349999999999998</v>
      </c>
      <c r="I19">
        <v>7.4</v>
      </c>
      <c r="J19">
        <v>29.6</v>
      </c>
      <c r="K19">
        <v>4</v>
      </c>
      <c r="L19">
        <v>87.9</v>
      </c>
      <c r="M19">
        <v>166</v>
      </c>
      <c r="N19">
        <v>0.39839999999999998</v>
      </c>
      <c r="O19">
        <v>6.6</v>
      </c>
      <c r="P19">
        <v>5.6</v>
      </c>
      <c r="U19">
        <v>11.1</v>
      </c>
      <c r="V19">
        <v>9.1999999999999993</v>
      </c>
      <c r="W19">
        <v>1.85</v>
      </c>
      <c r="X19">
        <v>1.95</v>
      </c>
      <c r="Y19">
        <v>1430</v>
      </c>
      <c r="Z19">
        <v>0.57999999999999996</v>
      </c>
      <c r="AA19">
        <v>3.536</v>
      </c>
      <c r="AB19">
        <v>2.4359999999999999</v>
      </c>
      <c r="AC19">
        <v>5.1440000000000001</v>
      </c>
      <c r="AD19">
        <v>4.3600000000000003</v>
      </c>
      <c r="AE19">
        <v>156.44999999999999</v>
      </c>
      <c r="AF19">
        <v>36.049999999999997</v>
      </c>
      <c r="AG19">
        <v>77.84</v>
      </c>
      <c r="AH19">
        <v>75.040000000000006</v>
      </c>
      <c r="AI19">
        <v>345.38</v>
      </c>
    </row>
    <row r="20" spans="1:35" ht="30" customHeight="1" x14ac:dyDescent="0.25">
      <c r="A20">
        <v>2040</v>
      </c>
      <c r="B20" s="2" t="s">
        <v>3</v>
      </c>
      <c r="C20">
        <v>60</v>
      </c>
      <c r="D20">
        <v>0.14155251099999999</v>
      </c>
      <c r="E20">
        <v>74.400000000000006</v>
      </c>
      <c r="F20">
        <v>5</v>
      </c>
      <c r="G20">
        <v>600</v>
      </c>
      <c r="H20">
        <v>2.1</v>
      </c>
      <c r="I20">
        <v>8</v>
      </c>
      <c r="J20">
        <v>32</v>
      </c>
      <c r="K20">
        <v>4</v>
      </c>
      <c r="L20">
        <v>88</v>
      </c>
      <c r="M20">
        <v>160</v>
      </c>
      <c r="N20">
        <v>0.38400000000000001</v>
      </c>
      <c r="O20">
        <v>7</v>
      </c>
      <c r="P20">
        <v>6</v>
      </c>
      <c r="U20">
        <v>12</v>
      </c>
      <c r="V20">
        <v>10</v>
      </c>
      <c r="W20">
        <v>2</v>
      </c>
      <c r="X20">
        <v>2</v>
      </c>
      <c r="Y20">
        <v>1500</v>
      </c>
      <c r="Z20">
        <v>0.6</v>
      </c>
      <c r="AA20">
        <v>3.6</v>
      </c>
      <c r="AB20">
        <v>2.48</v>
      </c>
      <c r="AC20">
        <v>5.2</v>
      </c>
      <c r="AD20">
        <v>4.4000000000000004</v>
      </c>
      <c r="AE20">
        <v>157.5</v>
      </c>
      <c r="AF20">
        <v>36.4</v>
      </c>
      <c r="AG20">
        <v>78.400000000000006</v>
      </c>
      <c r="AH20">
        <v>75.599999999999994</v>
      </c>
      <c r="AI20">
        <v>347.9</v>
      </c>
    </row>
    <row r="21" spans="1:35" ht="30" customHeight="1" x14ac:dyDescent="0.25">
      <c r="A21">
        <v>2041</v>
      </c>
      <c r="B21" s="2" t="s">
        <v>3</v>
      </c>
      <c r="C21">
        <v>63.5</v>
      </c>
      <c r="D21">
        <v>0.14155251099999999</v>
      </c>
      <c r="E21">
        <v>78.739999999999995</v>
      </c>
      <c r="F21">
        <v>5.3</v>
      </c>
      <c r="G21">
        <v>592</v>
      </c>
      <c r="H21">
        <v>2.0720000000000001</v>
      </c>
      <c r="I21">
        <v>9</v>
      </c>
      <c r="J21">
        <v>36</v>
      </c>
      <c r="K21">
        <v>4</v>
      </c>
      <c r="L21">
        <v>88.1</v>
      </c>
      <c r="M21">
        <v>157</v>
      </c>
      <c r="N21">
        <v>0.628</v>
      </c>
      <c r="O21">
        <v>7.5</v>
      </c>
      <c r="P21">
        <v>6.4</v>
      </c>
      <c r="U21">
        <v>13.6</v>
      </c>
      <c r="V21">
        <v>11.5</v>
      </c>
      <c r="W21">
        <v>2.2999999999999998</v>
      </c>
      <c r="X21">
        <v>2.0499999999999998</v>
      </c>
      <c r="Y21">
        <v>1550</v>
      </c>
      <c r="Z21">
        <v>0.59</v>
      </c>
      <c r="AA21">
        <v>3.64</v>
      </c>
      <c r="AB21">
        <v>2.512</v>
      </c>
      <c r="AC21">
        <v>5.24</v>
      </c>
      <c r="AD21">
        <v>4.4400000000000004</v>
      </c>
      <c r="AE21">
        <v>157.85</v>
      </c>
      <c r="AF21">
        <v>36.61</v>
      </c>
      <c r="AG21">
        <v>78.819999999999993</v>
      </c>
      <c r="AH21">
        <v>75.88</v>
      </c>
      <c r="AI21">
        <v>349.16</v>
      </c>
    </row>
    <row r="22" spans="1:35" ht="30" customHeight="1" x14ac:dyDescent="0.25">
      <c r="A22">
        <v>2042</v>
      </c>
      <c r="B22" s="2" t="s">
        <v>3</v>
      </c>
      <c r="C22">
        <v>67</v>
      </c>
      <c r="D22">
        <v>0.14155251099999999</v>
      </c>
      <c r="E22">
        <v>83.08</v>
      </c>
      <c r="F22">
        <v>5.6</v>
      </c>
      <c r="G22">
        <v>584</v>
      </c>
      <c r="H22">
        <v>2.044</v>
      </c>
      <c r="I22">
        <v>10</v>
      </c>
      <c r="J22">
        <v>40</v>
      </c>
      <c r="K22">
        <v>4</v>
      </c>
      <c r="L22">
        <v>88.2</v>
      </c>
      <c r="M22">
        <v>154</v>
      </c>
      <c r="N22">
        <v>0.61599999999999999</v>
      </c>
      <c r="O22">
        <v>8</v>
      </c>
      <c r="P22">
        <v>6.8</v>
      </c>
      <c r="U22">
        <v>15.2</v>
      </c>
      <c r="V22">
        <v>13</v>
      </c>
      <c r="W22">
        <v>2.6</v>
      </c>
      <c r="X22">
        <v>2.1</v>
      </c>
      <c r="Y22">
        <v>1600</v>
      </c>
      <c r="Z22">
        <v>0.57999999999999996</v>
      </c>
      <c r="AA22">
        <v>3.68</v>
      </c>
      <c r="AB22">
        <v>2.544</v>
      </c>
      <c r="AC22">
        <v>5.28</v>
      </c>
      <c r="AD22">
        <v>4.4800000000000004</v>
      </c>
      <c r="AE22">
        <v>158.19999999999999</v>
      </c>
      <c r="AF22">
        <v>36.82</v>
      </c>
      <c r="AG22">
        <v>79.239999999999995</v>
      </c>
      <c r="AH22">
        <v>76.16</v>
      </c>
      <c r="AI22">
        <v>350.42</v>
      </c>
    </row>
    <row r="23" spans="1:35" ht="30" customHeight="1" x14ac:dyDescent="0.25">
      <c r="A23">
        <v>2043</v>
      </c>
      <c r="B23" s="2" t="s">
        <v>3</v>
      </c>
      <c r="C23">
        <v>70.5</v>
      </c>
      <c r="D23">
        <v>0.14155251099999999</v>
      </c>
      <c r="E23">
        <v>87.42</v>
      </c>
      <c r="F23">
        <v>5.9</v>
      </c>
      <c r="G23">
        <v>576</v>
      </c>
      <c r="H23">
        <v>2.016</v>
      </c>
      <c r="I23">
        <v>11</v>
      </c>
      <c r="J23">
        <v>44</v>
      </c>
      <c r="K23">
        <v>4</v>
      </c>
      <c r="L23">
        <v>88.3</v>
      </c>
      <c r="M23">
        <v>151</v>
      </c>
      <c r="N23">
        <v>0.60399999999999998</v>
      </c>
      <c r="O23">
        <v>8.5</v>
      </c>
      <c r="P23">
        <v>7.2</v>
      </c>
      <c r="U23">
        <v>16.8</v>
      </c>
      <c r="V23">
        <v>14.5</v>
      </c>
      <c r="W23">
        <v>2.9</v>
      </c>
      <c r="X23">
        <v>2.15</v>
      </c>
      <c r="Y23">
        <v>1650</v>
      </c>
      <c r="Z23">
        <v>0.56999999999999995</v>
      </c>
      <c r="AA23">
        <v>3.72</v>
      </c>
      <c r="AB23">
        <v>2.5760000000000001</v>
      </c>
      <c r="AC23">
        <v>5.32</v>
      </c>
      <c r="AD23">
        <v>4.5199999999999996</v>
      </c>
      <c r="AE23">
        <v>158.55000000000001</v>
      </c>
      <c r="AF23">
        <v>37.03</v>
      </c>
      <c r="AG23">
        <v>79.66</v>
      </c>
      <c r="AH23">
        <v>76.44</v>
      </c>
      <c r="AI23">
        <v>351.68</v>
      </c>
    </row>
    <row r="24" spans="1:35" ht="30" customHeight="1" x14ac:dyDescent="0.25">
      <c r="A24">
        <v>2044</v>
      </c>
      <c r="B24" s="2" t="s">
        <v>3</v>
      </c>
      <c r="C24">
        <v>74</v>
      </c>
      <c r="D24">
        <v>0.14155251099999999</v>
      </c>
      <c r="E24">
        <v>91.76</v>
      </c>
      <c r="F24">
        <v>6.2</v>
      </c>
      <c r="G24">
        <v>568</v>
      </c>
      <c r="H24">
        <v>1.988</v>
      </c>
      <c r="I24">
        <v>12</v>
      </c>
      <c r="J24">
        <v>48</v>
      </c>
      <c r="K24">
        <v>4</v>
      </c>
      <c r="L24">
        <v>88.4</v>
      </c>
      <c r="M24">
        <v>148</v>
      </c>
      <c r="N24">
        <v>0.59199999999999997</v>
      </c>
      <c r="O24">
        <v>9</v>
      </c>
      <c r="P24">
        <v>7.6</v>
      </c>
      <c r="U24">
        <v>18.399999999999999</v>
      </c>
      <c r="V24">
        <v>16</v>
      </c>
      <c r="W24">
        <v>3.2</v>
      </c>
      <c r="X24">
        <v>2.2000000000000002</v>
      </c>
      <c r="Y24">
        <v>1700</v>
      </c>
      <c r="Z24">
        <v>0.56000000000000005</v>
      </c>
      <c r="AA24">
        <v>3.76</v>
      </c>
      <c r="AB24">
        <v>2.6080000000000001</v>
      </c>
      <c r="AC24">
        <v>5.36</v>
      </c>
      <c r="AD24">
        <v>4.5599999999999996</v>
      </c>
      <c r="AE24">
        <v>158.9</v>
      </c>
      <c r="AF24">
        <v>37.24</v>
      </c>
      <c r="AG24">
        <v>80.08</v>
      </c>
      <c r="AH24">
        <v>76.72</v>
      </c>
      <c r="AI24">
        <v>352.94</v>
      </c>
    </row>
    <row r="25" spans="1:35" ht="30" customHeight="1" x14ac:dyDescent="0.25">
      <c r="A25">
        <v>2045</v>
      </c>
      <c r="B25" s="2" t="s">
        <v>3</v>
      </c>
      <c r="C25">
        <v>77.5</v>
      </c>
      <c r="D25">
        <v>0.14155251099999999</v>
      </c>
      <c r="E25">
        <v>96.1</v>
      </c>
      <c r="F25">
        <v>6.5</v>
      </c>
      <c r="G25">
        <v>560</v>
      </c>
      <c r="H25">
        <v>1.96</v>
      </c>
      <c r="I25">
        <v>13</v>
      </c>
      <c r="J25">
        <v>52</v>
      </c>
      <c r="K25">
        <v>4</v>
      </c>
      <c r="L25">
        <v>88.5</v>
      </c>
      <c r="M25">
        <v>145</v>
      </c>
      <c r="N25">
        <v>0.57999999999999996</v>
      </c>
      <c r="O25">
        <v>9.5</v>
      </c>
      <c r="P25">
        <v>8</v>
      </c>
      <c r="U25">
        <v>20</v>
      </c>
      <c r="V25">
        <v>17.5</v>
      </c>
      <c r="W25">
        <v>3.5</v>
      </c>
      <c r="X25">
        <v>2.25</v>
      </c>
      <c r="Y25">
        <v>1750</v>
      </c>
      <c r="Z25">
        <v>0.55000000000000004</v>
      </c>
      <c r="AA25">
        <v>3.8</v>
      </c>
      <c r="AB25">
        <v>2.64</v>
      </c>
      <c r="AC25">
        <v>5.4</v>
      </c>
      <c r="AD25">
        <v>4.5999999999999996</v>
      </c>
      <c r="AE25">
        <v>159.25</v>
      </c>
      <c r="AF25">
        <v>37.450000000000003</v>
      </c>
      <c r="AG25">
        <v>80.5</v>
      </c>
      <c r="AH25">
        <v>77</v>
      </c>
      <c r="AI25">
        <v>354.2</v>
      </c>
    </row>
    <row r="26" spans="1:35" ht="30" customHeight="1" x14ac:dyDescent="0.25">
      <c r="A26">
        <v>2046</v>
      </c>
      <c r="B26" s="2" t="s">
        <v>3</v>
      </c>
      <c r="C26">
        <v>81</v>
      </c>
      <c r="D26">
        <v>0.14155251099999999</v>
      </c>
      <c r="E26">
        <v>100.44</v>
      </c>
      <c r="F26">
        <v>6.8</v>
      </c>
      <c r="G26">
        <v>552</v>
      </c>
      <c r="H26">
        <v>1.9319999999999999</v>
      </c>
      <c r="I26">
        <v>14</v>
      </c>
      <c r="J26">
        <v>56</v>
      </c>
      <c r="K26">
        <v>4</v>
      </c>
      <c r="L26">
        <v>88.6</v>
      </c>
      <c r="M26">
        <v>142</v>
      </c>
      <c r="N26">
        <v>0.56799999999999995</v>
      </c>
      <c r="O26">
        <v>10</v>
      </c>
      <c r="P26">
        <v>8.4</v>
      </c>
      <c r="U26">
        <v>21.6</v>
      </c>
      <c r="V26">
        <v>19</v>
      </c>
      <c r="W26">
        <v>3.8</v>
      </c>
      <c r="X26">
        <v>2.2999999999999998</v>
      </c>
      <c r="Y26">
        <v>1800</v>
      </c>
      <c r="Z26">
        <v>0.54</v>
      </c>
      <c r="AA26">
        <v>3.84</v>
      </c>
      <c r="AB26">
        <v>2.6720000000000002</v>
      </c>
      <c r="AC26">
        <v>5.44</v>
      </c>
      <c r="AD26">
        <v>4.6399999999999997</v>
      </c>
      <c r="AE26">
        <v>159.6</v>
      </c>
      <c r="AF26">
        <v>37.659999999999997</v>
      </c>
      <c r="AG26">
        <v>80.92</v>
      </c>
      <c r="AH26">
        <v>77.28</v>
      </c>
      <c r="AI26">
        <v>355.46</v>
      </c>
    </row>
    <row r="27" spans="1:35" ht="30" customHeight="1" x14ac:dyDescent="0.25">
      <c r="A27">
        <v>2047</v>
      </c>
      <c r="B27" s="2" t="s">
        <v>3</v>
      </c>
      <c r="C27">
        <v>84.5</v>
      </c>
      <c r="D27">
        <v>0.14155251099999999</v>
      </c>
      <c r="E27">
        <v>104.78</v>
      </c>
      <c r="F27">
        <v>7.1</v>
      </c>
      <c r="G27">
        <v>544</v>
      </c>
      <c r="H27">
        <v>1.9039999999999999</v>
      </c>
      <c r="I27">
        <v>15</v>
      </c>
      <c r="J27">
        <v>60</v>
      </c>
      <c r="K27">
        <v>4</v>
      </c>
      <c r="L27">
        <v>88.7</v>
      </c>
      <c r="M27">
        <v>139</v>
      </c>
      <c r="N27">
        <v>0.55600000000000005</v>
      </c>
      <c r="O27">
        <v>10.5</v>
      </c>
      <c r="P27">
        <v>8.8000000000000007</v>
      </c>
      <c r="U27">
        <v>23.2</v>
      </c>
      <c r="V27">
        <v>20.5</v>
      </c>
      <c r="W27">
        <v>4.0999999999999996</v>
      </c>
      <c r="X27">
        <v>2.35</v>
      </c>
      <c r="Y27">
        <v>1850</v>
      </c>
      <c r="Z27">
        <v>0.53</v>
      </c>
      <c r="AA27">
        <v>3.88</v>
      </c>
      <c r="AB27">
        <v>2.7040000000000002</v>
      </c>
      <c r="AC27">
        <v>5.48</v>
      </c>
      <c r="AD27">
        <v>4.68</v>
      </c>
      <c r="AE27">
        <v>159.94999999999999</v>
      </c>
      <c r="AF27">
        <v>37.869999999999997</v>
      </c>
      <c r="AG27">
        <v>81.34</v>
      </c>
      <c r="AH27">
        <v>77.56</v>
      </c>
      <c r="AI27">
        <v>356.72</v>
      </c>
    </row>
    <row r="28" spans="1:35" ht="30" customHeight="1" x14ac:dyDescent="0.25">
      <c r="A28">
        <v>2048</v>
      </c>
      <c r="B28" s="2" t="s">
        <v>3</v>
      </c>
      <c r="C28">
        <v>88</v>
      </c>
      <c r="D28">
        <v>0.14155251099999999</v>
      </c>
      <c r="E28">
        <v>109.12</v>
      </c>
      <c r="F28">
        <v>7.4</v>
      </c>
      <c r="G28">
        <v>536</v>
      </c>
      <c r="H28">
        <v>1.8759999999999999</v>
      </c>
      <c r="I28">
        <v>16</v>
      </c>
      <c r="J28">
        <v>64</v>
      </c>
      <c r="K28">
        <v>4</v>
      </c>
      <c r="L28">
        <v>88.8</v>
      </c>
      <c r="M28">
        <v>136</v>
      </c>
      <c r="N28">
        <v>0.54400000000000004</v>
      </c>
      <c r="O28">
        <v>11</v>
      </c>
      <c r="P28">
        <v>9.1999999999999993</v>
      </c>
      <c r="U28">
        <v>24.8</v>
      </c>
      <c r="V28">
        <v>22</v>
      </c>
      <c r="W28">
        <v>4.4000000000000004</v>
      </c>
      <c r="X28">
        <v>2.4</v>
      </c>
      <c r="Y28">
        <v>1900</v>
      </c>
      <c r="Z28">
        <v>0.52</v>
      </c>
      <c r="AA28">
        <v>3.92</v>
      </c>
      <c r="AB28">
        <v>2.7360000000000002</v>
      </c>
      <c r="AC28">
        <v>5.52</v>
      </c>
      <c r="AD28">
        <v>4.72</v>
      </c>
      <c r="AE28">
        <v>160.30000000000001</v>
      </c>
      <c r="AF28">
        <v>38.08</v>
      </c>
      <c r="AG28">
        <v>81.760000000000005</v>
      </c>
      <c r="AH28">
        <v>77.84</v>
      </c>
      <c r="AI28">
        <v>357.98</v>
      </c>
    </row>
    <row r="29" spans="1:35" ht="30" customHeight="1" x14ac:dyDescent="0.25">
      <c r="A29">
        <v>2049</v>
      </c>
      <c r="B29" s="2" t="s">
        <v>3</v>
      </c>
      <c r="C29">
        <v>91.5</v>
      </c>
      <c r="D29">
        <v>0.14155251099999999</v>
      </c>
      <c r="E29">
        <v>113.46</v>
      </c>
      <c r="F29">
        <v>7.7</v>
      </c>
      <c r="G29">
        <v>528</v>
      </c>
      <c r="H29">
        <v>1.8480000000000001</v>
      </c>
      <c r="I29">
        <v>17</v>
      </c>
      <c r="J29">
        <v>68</v>
      </c>
      <c r="K29">
        <v>4</v>
      </c>
      <c r="L29">
        <v>88.9</v>
      </c>
      <c r="M29">
        <v>133</v>
      </c>
      <c r="N29">
        <v>0.53200000000000003</v>
      </c>
      <c r="O29">
        <v>11.5</v>
      </c>
      <c r="P29">
        <v>9.6</v>
      </c>
      <c r="U29">
        <v>26.4</v>
      </c>
      <c r="V29">
        <v>23.5</v>
      </c>
      <c r="W29">
        <v>4.7</v>
      </c>
      <c r="X29">
        <v>2.4500000000000002</v>
      </c>
      <c r="Y29">
        <v>1950</v>
      </c>
      <c r="Z29">
        <v>0.51</v>
      </c>
      <c r="AA29">
        <v>3.96</v>
      </c>
      <c r="AB29">
        <v>2.7679999999999998</v>
      </c>
      <c r="AC29">
        <v>5.56</v>
      </c>
      <c r="AD29">
        <v>4.76</v>
      </c>
      <c r="AE29">
        <v>160.65</v>
      </c>
      <c r="AF29">
        <v>38.29</v>
      </c>
      <c r="AG29">
        <v>82.18</v>
      </c>
      <c r="AH29">
        <v>78.12</v>
      </c>
      <c r="AI29">
        <v>359.24</v>
      </c>
    </row>
    <row r="30" spans="1:35" ht="30" customHeight="1" x14ac:dyDescent="0.25">
      <c r="A30">
        <v>2050</v>
      </c>
      <c r="B30" s="2" t="s">
        <v>3</v>
      </c>
      <c r="C30">
        <v>95</v>
      </c>
      <c r="D30">
        <v>0.14155251099999999</v>
      </c>
      <c r="E30">
        <v>117.8</v>
      </c>
      <c r="F30">
        <v>8</v>
      </c>
      <c r="G30">
        <v>520</v>
      </c>
      <c r="H30">
        <v>1.82</v>
      </c>
      <c r="I30">
        <v>18</v>
      </c>
      <c r="J30">
        <v>72</v>
      </c>
      <c r="K30">
        <v>4</v>
      </c>
      <c r="L30">
        <v>89</v>
      </c>
      <c r="M30">
        <v>130</v>
      </c>
      <c r="N30">
        <v>0.52</v>
      </c>
      <c r="O30">
        <v>12</v>
      </c>
      <c r="P30">
        <v>10</v>
      </c>
      <c r="U30">
        <v>28</v>
      </c>
      <c r="V30">
        <v>25</v>
      </c>
      <c r="W30">
        <v>5</v>
      </c>
      <c r="X30">
        <v>2.5</v>
      </c>
      <c r="Y30">
        <v>2000</v>
      </c>
      <c r="Z30">
        <v>0.5</v>
      </c>
      <c r="AA30">
        <v>10</v>
      </c>
      <c r="AB30">
        <v>2.8</v>
      </c>
      <c r="AC30">
        <v>5.6</v>
      </c>
      <c r="AD30">
        <v>4.8</v>
      </c>
      <c r="AE30">
        <v>161</v>
      </c>
      <c r="AF30">
        <v>38.5</v>
      </c>
      <c r="AG30">
        <v>82.6</v>
      </c>
      <c r="AH30">
        <v>78.400000000000006</v>
      </c>
      <c r="AI30">
        <v>360.5</v>
      </c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30"/>
  <sheetViews>
    <sheetView topLeftCell="K1" workbookViewId="0">
      <pane ySplit="5" topLeftCell="A6" activePane="bottomLeft" state="frozen"/>
      <selection activeCell="S42" sqref="S42"/>
      <selection pane="bottomLeft" activeCell="R6" sqref="R6"/>
    </sheetView>
  </sheetViews>
  <sheetFormatPr defaultRowHeight="15" x14ac:dyDescent="0.25"/>
  <cols>
    <col min="1" max="2" width="16" customWidth="1"/>
    <col min="3" max="3" width="34" customWidth="1"/>
    <col min="4" max="5" width="16" customWidth="1"/>
    <col min="6" max="6" width="20" customWidth="1"/>
    <col min="7" max="8" width="16" customWidth="1"/>
    <col min="9" max="9" width="22" customWidth="1"/>
    <col min="10" max="14" width="16" customWidth="1"/>
    <col min="15" max="15" width="22" customWidth="1"/>
    <col min="16" max="16" width="20" customWidth="1"/>
    <col min="17" max="26" width="16" customWidth="1"/>
    <col min="27" max="27" width="22" customWidth="1"/>
    <col min="28" max="36" width="16" customWidth="1"/>
  </cols>
  <sheetData>
    <row r="1" spans="1:35" ht="19.5" customHeight="1" x14ac:dyDescent="0.25">
      <c r="A1" s="4" t="s">
        <v>0</v>
      </c>
      <c r="B1" s="16" t="s">
        <v>59</v>
      </c>
      <c r="C1" s="17"/>
    </row>
    <row r="2" spans="1:35" ht="20.25" customHeight="1" x14ac:dyDescent="0.25">
      <c r="A2" s="4" t="s">
        <v>2</v>
      </c>
      <c r="B2" s="16" t="s">
        <v>138</v>
      </c>
      <c r="C2" s="17"/>
    </row>
    <row r="3" spans="1:35" ht="27" customHeight="1" x14ac:dyDescent="0.25">
      <c r="A3" s="4" t="s">
        <v>4</v>
      </c>
      <c r="B3" s="16" t="s">
        <v>139</v>
      </c>
      <c r="C3" s="17"/>
    </row>
    <row r="5" spans="1:35" ht="30" customHeigh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6" t="s">
        <v>32</v>
      </c>
      <c r="AB5" s="6" t="s">
        <v>33</v>
      </c>
      <c r="AC5" s="6" t="s">
        <v>34</v>
      </c>
      <c r="AD5" s="6" t="s">
        <v>35</v>
      </c>
      <c r="AE5" s="6" t="s">
        <v>36</v>
      </c>
      <c r="AF5" s="6" t="s">
        <v>37</v>
      </c>
      <c r="AG5" s="6" t="s">
        <v>38</v>
      </c>
      <c r="AH5" s="6" t="s">
        <v>39</v>
      </c>
      <c r="AI5" s="6" t="s">
        <v>40</v>
      </c>
    </row>
    <row r="6" spans="1:35" ht="30" customHeight="1" x14ac:dyDescent="0.25">
      <c r="A6">
        <v>2026</v>
      </c>
      <c r="B6" s="2" t="s">
        <v>138</v>
      </c>
      <c r="C6">
        <f>PDP8_revised!C6</f>
        <v>12</v>
      </c>
      <c r="D6">
        <v>0.14155251099999999</v>
      </c>
      <c r="E6">
        <v>22.32</v>
      </c>
      <c r="F6">
        <v>1</v>
      </c>
      <c r="G6">
        <v>780</v>
      </c>
      <c r="H6">
        <v>6.63</v>
      </c>
      <c r="I6">
        <v>1.5</v>
      </c>
      <c r="J6">
        <v>6</v>
      </c>
      <c r="K6">
        <v>4</v>
      </c>
      <c r="L6">
        <v>86</v>
      </c>
      <c r="M6">
        <v>300</v>
      </c>
      <c r="N6">
        <v>1.44</v>
      </c>
      <c r="O6">
        <v>1</v>
      </c>
      <c r="P6">
        <v>0.5</v>
      </c>
      <c r="Q6">
        <v>2</v>
      </c>
      <c r="R6">
        <v>2</v>
      </c>
      <c r="S6">
        <v>5</v>
      </c>
      <c r="T6">
        <v>0.5</v>
      </c>
      <c r="U6">
        <v>0.8</v>
      </c>
      <c r="V6">
        <v>0.5</v>
      </c>
      <c r="W6">
        <v>0.15</v>
      </c>
      <c r="X6">
        <v>1.5</v>
      </c>
      <c r="Y6">
        <v>500</v>
      </c>
      <c r="Z6">
        <v>0.15</v>
      </c>
      <c r="AA6">
        <v>1.4</v>
      </c>
      <c r="AB6">
        <v>1.05</v>
      </c>
      <c r="AC6">
        <v>1.4</v>
      </c>
      <c r="AD6">
        <v>1.05</v>
      </c>
      <c r="AE6">
        <v>162</v>
      </c>
      <c r="AF6">
        <v>34.200000000000003</v>
      </c>
      <c r="AG6">
        <v>72</v>
      </c>
      <c r="AH6">
        <v>63</v>
      </c>
      <c r="AI6">
        <v>331.2</v>
      </c>
    </row>
    <row r="7" spans="1:35" ht="30" customHeight="1" x14ac:dyDescent="0.25">
      <c r="A7">
        <v>2027</v>
      </c>
      <c r="B7" s="2" t="s">
        <v>138</v>
      </c>
      <c r="C7">
        <f>PDP8_revised!C7</f>
        <v>15.25</v>
      </c>
      <c r="D7">
        <v>0.14155251099999999</v>
      </c>
      <c r="E7">
        <v>35.340000000000003</v>
      </c>
      <c r="F7">
        <v>2</v>
      </c>
      <c r="G7">
        <v>755</v>
      </c>
      <c r="H7">
        <v>7.9275000000000002</v>
      </c>
      <c r="I7">
        <v>3.125</v>
      </c>
      <c r="J7">
        <v>12.5</v>
      </c>
      <c r="K7">
        <v>4</v>
      </c>
      <c r="L7">
        <v>86.5</v>
      </c>
      <c r="M7">
        <v>275</v>
      </c>
      <c r="N7">
        <v>1.7875000000000001</v>
      </c>
      <c r="O7">
        <v>2</v>
      </c>
      <c r="P7">
        <v>1.125</v>
      </c>
      <c r="Q7">
        <v>5.25</v>
      </c>
      <c r="R7">
        <v>4</v>
      </c>
      <c r="S7">
        <v>8.75</v>
      </c>
      <c r="T7">
        <v>0.875</v>
      </c>
      <c r="U7">
        <v>1.6</v>
      </c>
      <c r="V7">
        <v>1.125</v>
      </c>
      <c r="W7">
        <v>0.3125</v>
      </c>
      <c r="X7">
        <v>1.625</v>
      </c>
      <c r="Y7">
        <v>750</v>
      </c>
      <c r="Z7">
        <v>0.26250000000000001</v>
      </c>
      <c r="AA7">
        <v>2.3450000000000002</v>
      </c>
      <c r="AB7">
        <v>1.68</v>
      </c>
      <c r="AC7">
        <v>3.08</v>
      </c>
      <c r="AD7">
        <v>2.5375000000000001</v>
      </c>
      <c r="AE7">
        <v>168.75</v>
      </c>
      <c r="AF7">
        <v>36.225000000000001</v>
      </c>
      <c r="AG7">
        <v>77.400000000000006</v>
      </c>
      <c r="AH7">
        <v>69.75</v>
      </c>
      <c r="AI7">
        <v>352.125</v>
      </c>
    </row>
    <row r="8" spans="1:35" ht="30" customHeight="1" x14ac:dyDescent="0.25">
      <c r="A8">
        <v>2028</v>
      </c>
      <c r="B8" s="2" t="s">
        <v>138</v>
      </c>
      <c r="C8">
        <f>PDP8_revised!C8</f>
        <v>18.5</v>
      </c>
      <c r="D8">
        <v>0.14155251099999999</v>
      </c>
      <c r="E8">
        <v>48.36</v>
      </c>
      <c r="F8">
        <v>3</v>
      </c>
      <c r="G8">
        <v>730</v>
      </c>
      <c r="H8">
        <v>7.665</v>
      </c>
      <c r="I8">
        <v>4.75</v>
      </c>
      <c r="J8">
        <v>19</v>
      </c>
      <c r="K8">
        <v>4</v>
      </c>
      <c r="L8">
        <v>87</v>
      </c>
      <c r="M8">
        <v>250</v>
      </c>
      <c r="N8">
        <v>1.625</v>
      </c>
      <c r="O8">
        <v>3</v>
      </c>
      <c r="P8">
        <v>1.75</v>
      </c>
      <c r="Q8">
        <v>8.5</v>
      </c>
      <c r="R8">
        <v>6</v>
      </c>
      <c r="S8">
        <v>12.5</v>
      </c>
      <c r="T8">
        <v>1.25</v>
      </c>
      <c r="U8">
        <v>2.4</v>
      </c>
      <c r="V8">
        <v>1.75</v>
      </c>
      <c r="W8">
        <v>0.47499999999999998</v>
      </c>
      <c r="X8">
        <v>1.75</v>
      </c>
      <c r="Y8">
        <v>1000</v>
      </c>
      <c r="Z8">
        <v>0.375</v>
      </c>
      <c r="AA8">
        <v>3.29</v>
      </c>
      <c r="AB8">
        <v>2.31</v>
      </c>
      <c r="AC8">
        <v>4.76</v>
      </c>
      <c r="AD8">
        <v>4.0250000000000004</v>
      </c>
      <c r="AE8">
        <v>175.5</v>
      </c>
      <c r="AF8">
        <v>38.25</v>
      </c>
      <c r="AG8">
        <v>82.8</v>
      </c>
      <c r="AH8">
        <v>76.5</v>
      </c>
      <c r="AI8">
        <v>373.05</v>
      </c>
    </row>
    <row r="9" spans="1:35" ht="30" customHeight="1" x14ac:dyDescent="0.25">
      <c r="A9">
        <v>2029</v>
      </c>
      <c r="B9" s="2" t="s">
        <v>138</v>
      </c>
      <c r="C9">
        <f>PDP8_revised!C9</f>
        <v>21.75</v>
      </c>
      <c r="D9">
        <v>0.14155251099999999</v>
      </c>
      <c r="E9">
        <v>61.38</v>
      </c>
      <c r="F9">
        <v>4</v>
      </c>
      <c r="G9">
        <v>705</v>
      </c>
      <c r="H9">
        <v>7.4024999999999999</v>
      </c>
      <c r="I9">
        <v>6.375</v>
      </c>
      <c r="J9">
        <v>25.5</v>
      </c>
      <c r="K9">
        <v>4</v>
      </c>
      <c r="L9">
        <v>87.5</v>
      </c>
      <c r="M9">
        <v>225</v>
      </c>
      <c r="N9">
        <v>1.4624999999999999</v>
      </c>
      <c r="O9">
        <v>4</v>
      </c>
      <c r="P9">
        <v>2.375</v>
      </c>
      <c r="Q9">
        <v>11.75</v>
      </c>
      <c r="R9">
        <v>8</v>
      </c>
      <c r="S9">
        <v>16.25</v>
      </c>
      <c r="T9">
        <v>1.625</v>
      </c>
      <c r="U9">
        <v>3.2</v>
      </c>
      <c r="V9">
        <v>2.375</v>
      </c>
      <c r="W9">
        <v>0.63749999999999996</v>
      </c>
      <c r="X9">
        <v>1.875</v>
      </c>
      <c r="Y9">
        <v>1250</v>
      </c>
      <c r="Z9">
        <v>0.48749999999999999</v>
      </c>
      <c r="AA9">
        <v>4.2350000000000003</v>
      </c>
      <c r="AB9">
        <v>2.94</v>
      </c>
      <c r="AC9">
        <v>6.44</v>
      </c>
      <c r="AD9">
        <v>5.5125000000000002</v>
      </c>
      <c r="AE9">
        <v>182.25</v>
      </c>
      <c r="AF9">
        <v>40.274999999999999</v>
      </c>
      <c r="AG9">
        <v>88.2</v>
      </c>
      <c r="AH9">
        <v>83.25</v>
      </c>
      <c r="AI9">
        <v>393.97500000000002</v>
      </c>
    </row>
    <row r="10" spans="1:35" ht="30" customHeight="1" x14ac:dyDescent="0.25">
      <c r="A10">
        <v>2030</v>
      </c>
      <c r="B10" s="2" t="s">
        <v>138</v>
      </c>
      <c r="C10">
        <f>PDP8_revised!C10</f>
        <v>25</v>
      </c>
      <c r="D10">
        <v>0.14155251099999999</v>
      </c>
      <c r="E10">
        <v>74.400000000000006</v>
      </c>
      <c r="F10">
        <v>5</v>
      </c>
      <c r="G10">
        <v>680</v>
      </c>
      <c r="H10">
        <v>7.14</v>
      </c>
      <c r="I10">
        <v>8</v>
      </c>
      <c r="J10">
        <v>32</v>
      </c>
      <c r="K10">
        <v>4</v>
      </c>
      <c r="L10">
        <v>88</v>
      </c>
      <c r="M10">
        <v>200</v>
      </c>
      <c r="N10">
        <v>1.3</v>
      </c>
      <c r="O10">
        <v>5</v>
      </c>
      <c r="P10">
        <v>3</v>
      </c>
      <c r="Q10">
        <v>15</v>
      </c>
      <c r="R10">
        <v>10</v>
      </c>
      <c r="S10">
        <v>20</v>
      </c>
      <c r="T10">
        <v>2</v>
      </c>
      <c r="U10">
        <v>4</v>
      </c>
      <c r="V10">
        <v>3</v>
      </c>
      <c r="W10">
        <v>0.8</v>
      </c>
      <c r="X10">
        <v>2</v>
      </c>
      <c r="Y10">
        <v>1500</v>
      </c>
      <c r="Z10">
        <v>0.6</v>
      </c>
      <c r="AA10">
        <v>5.18</v>
      </c>
      <c r="AB10">
        <v>3.57</v>
      </c>
      <c r="AC10">
        <v>8.1199999999999992</v>
      </c>
      <c r="AD10">
        <v>7</v>
      </c>
      <c r="AE10">
        <v>189</v>
      </c>
      <c r="AF10">
        <v>42.3</v>
      </c>
      <c r="AG10">
        <v>93.6</v>
      </c>
      <c r="AH10">
        <v>90</v>
      </c>
      <c r="AI10">
        <v>414.9</v>
      </c>
    </row>
    <row r="11" spans="1:35" ht="30" customHeight="1" x14ac:dyDescent="0.25">
      <c r="A11">
        <v>2031</v>
      </c>
      <c r="B11" s="2" t="s">
        <v>138</v>
      </c>
      <c r="C11">
        <f>PDP8_revised!C11</f>
        <v>28.5</v>
      </c>
      <c r="D11">
        <v>0.14155251099999999</v>
      </c>
      <c r="E11">
        <v>83.08</v>
      </c>
      <c r="F11">
        <v>5.5</v>
      </c>
      <c r="G11">
        <v>668</v>
      </c>
      <c r="H11">
        <v>4.6760000000000002</v>
      </c>
      <c r="I11">
        <v>9.6999999999999993</v>
      </c>
      <c r="J11">
        <v>38.799999999999997</v>
      </c>
      <c r="K11">
        <v>4</v>
      </c>
      <c r="L11">
        <v>88.2</v>
      </c>
      <c r="M11">
        <v>194</v>
      </c>
      <c r="N11">
        <v>1.3191999999999999</v>
      </c>
      <c r="O11">
        <v>6</v>
      </c>
      <c r="P11">
        <v>3.9</v>
      </c>
      <c r="Q11">
        <v>18.5</v>
      </c>
      <c r="R11">
        <v>13</v>
      </c>
      <c r="S11">
        <v>24</v>
      </c>
      <c r="T11">
        <v>3.3</v>
      </c>
      <c r="U11">
        <v>5.4</v>
      </c>
      <c r="V11">
        <v>4.2</v>
      </c>
      <c r="W11">
        <v>1.07</v>
      </c>
      <c r="X11">
        <v>2.0499999999999998</v>
      </c>
      <c r="Y11">
        <v>1700</v>
      </c>
      <c r="Z11">
        <v>0.66</v>
      </c>
      <c r="AA11">
        <v>5.2919999999999998</v>
      </c>
      <c r="AB11">
        <v>3.6469999999999998</v>
      </c>
      <c r="AC11">
        <v>8.218</v>
      </c>
      <c r="AD11">
        <v>7.07</v>
      </c>
      <c r="AE11">
        <v>190.35</v>
      </c>
      <c r="AF11">
        <v>42.75</v>
      </c>
      <c r="AG11">
        <v>94.32</v>
      </c>
      <c r="AH11">
        <v>90.72</v>
      </c>
      <c r="AI11">
        <v>418.14</v>
      </c>
    </row>
    <row r="12" spans="1:35" ht="30" customHeight="1" x14ac:dyDescent="0.25">
      <c r="A12">
        <v>2032</v>
      </c>
      <c r="B12" s="2" t="s">
        <v>138</v>
      </c>
      <c r="C12">
        <f>PDP8_revised!C12</f>
        <v>32</v>
      </c>
      <c r="D12">
        <v>0.14155251099999999</v>
      </c>
      <c r="E12">
        <v>91.76</v>
      </c>
      <c r="F12">
        <v>6</v>
      </c>
      <c r="G12">
        <v>656</v>
      </c>
      <c r="H12">
        <v>4.5919999999999996</v>
      </c>
      <c r="I12">
        <v>11.4</v>
      </c>
      <c r="J12">
        <v>45.6</v>
      </c>
      <c r="K12">
        <v>4</v>
      </c>
      <c r="L12">
        <v>88.4</v>
      </c>
      <c r="M12">
        <v>188</v>
      </c>
      <c r="N12">
        <v>1.2784</v>
      </c>
      <c r="O12">
        <v>7</v>
      </c>
      <c r="P12">
        <v>4.8</v>
      </c>
      <c r="Q12">
        <v>22</v>
      </c>
      <c r="R12">
        <v>16</v>
      </c>
      <c r="S12">
        <v>28</v>
      </c>
      <c r="T12">
        <v>4.5999999999999996</v>
      </c>
      <c r="U12">
        <v>6.8</v>
      </c>
      <c r="V12">
        <v>5.4</v>
      </c>
      <c r="W12">
        <v>1.34</v>
      </c>
      <c r="X12">
        <v>2.1</v>
      </c>
      <c r="Y12">
        <v>1900</v>
      </c>
      <c r="Z12">
        <v>0.72</v>
      </c>
      <c r="AA12">
        <v>5.4039999999999999</v>
      </c>
      <c r="AB12">
        <v>3.7240000000000002</v>
      </c>
      <c r="AC12">
        <v>8.3160000000000007</v>
      </c>
      <c r="AD12">
        <v>7.14</v>
      </c>
      <c r="AE12">
        <v>191.7</v>
      </c>
      <c r="AF12">
        <v>43.2</v>
      </c>
      <c r="AG12">
        <v>95.04</v>
      </c>
      <c r="AH12">
        <v>91.44</v>
      </c>
      <c r="AI12">
        <v>421.38</v>
      </c>
    </row>
    <row r="13" spans="1:35" ht="30" customHeight="1" x14ac:dyDescent="0.25">
      <c r="A13">
        <v>2033</v>
      </c>
      <c r="B13" s="2" t="s">
        <v>138</v>
      </c>
      <c r="C13">
        <f>PDP8_revised!C13</f>
        <v>35.5</v>
      </c>
      <c r="D13">
        <v>0.14155251099999999</v>
      </c>
      <c r="E13">
        <v>100.44</v>
      </c>
      <c r="F13">
        <v>6.5</v>
      </c>
      <c r="G13">
        <v>644</v>
      </c>
      <c r="H13">
        <v>4.508</v>
      </c>
      <c r="I13">
        <v>13.1</v>
      </c>
      <c r="J13">
        <v>52.4</v>
      </c>
      <c r="K13">
        <v>4</v>
      </c>
      <c r="L13">
        <v>88.6</v>
      </c>
      <c r="M13">
        <v>182</v>
      </c>
      <c r="N13">
        <v>1.2376</v>
      </c>
      <c r="O13">
        <v>8</v>
      </c>
      <c r="P13">
        <v>5.7</v>
      </c>
      <c r="Q13">
        <v>25.5</v>
      </c>
      <c r="R13">
        <v>19</v>
      </c>
      <c r="S13">
        <v>32</v>
      </c>
      <c r="T13">
        <v>5.9</v>
      </c>
      <c r="U13">
        <v>8.1999999999999993</v>
      </c>
      <c r="V13">
        <v>6.6</v>
      </c>
      <c r="W13">
        <v>1.61</v>
      </c>
      <c r="X13">
        <v>2.15</v>
      </c>
      <c r="Y13">
        <v>2100</v>
      </c>
      <c r="Z13">
        <v>0.78</v>
      </c>
      <c r="AA13">
        <v>5.516</v>
      </c>
      <c r="AB13">
        <v>3.8010000000000002</v>
      </c>
      <c r="AC13">
        <v>8.4139999999999997</v>
      </c>
      <c r="AD13">
        <v>7.21</v>
      </c>
      <c r="AE13">
        <v>193.05</v>
      </c>
      <c r="AF13">
        <v>43.65</v>
      </c>
      <c r="AG13">
        <v>95.76</v>
      </c>
      <c r="AH13">
        <v>92.16</v>
      </c>
      <c r="AI13">
        <v>424.62</v>
      </c>
    </row>
    <row r="14" spans="1:35" ht="30" customHeight="1" x14ac:dyDescent="0.25">
      <c r="A14">
        <v>2034</v>
      </c>
      <c r="B14" s="2" t="s">
        <v>138</v>
      </c>
      <c r="C14">
        <f>PDP8_revised!C14</f>
        <v>39</v>
      </c>
      <c r="D14">
        <v>0.14155251099999999</v>
      </c>
      <c r="E14">
        <v>109.12</v>
      </c>
      <c r="F14">
        <v>7</v>
      </c>
      <c r="G14">
        <v>632</v>
      </c>
      <c r="H14">
        <v>4.4240000000000004</v>
      </c>
      <c r="I14">
        <v>14.8</v>
      </c>
      <c r="J14">
        <v>59.2</v>
      </c>
      <c r="K14">
        <v>4</v>
      </c>
      <c r="L14">
        <v>88.8</v>
      </c>
      <c r="M14">
        <v>176</v>
      </c>
      <c r="N14">
        <v>1.1968000000000001</v>
      </c>
      <c r="O14">
        <v>9</v>
      </c>
      <c r="P14">
        <v>6.6</v>
      </c>
      <c r="Q14">
        <v>29</v>
      </c>
      <c r="R14">
        <v>22</v>
      </c>
      <c r="S14">
        <v>36</v>
      </c>
      <c r="T14">
        <v>7.2</v>
      </c>
      <c r="U14">
        <v>9.6</v>
      </c>
      <c r="V14">
        <v>7.8</v>
      </c>
      <c r="W14">
        <v>1.88</v>
      </c>
      <c r="X14">
        <v>2.2000000000000002</v>
      </c>
      <c r="Y14">
        <v>2300</v>
      </c>
      <c r="Z14">
        <v>0.84</v>
      </c>
      <c r="AA14">
        <v>5.6280000000000001</v>
      </c>
      <c r="AB14">
        <v>3.8780000000000001</v>
      </c>
      <c r="AC14">
        <v>8.5120000000000005</v>
      </c>
      <c r="AD14">
        <v>7.28</v>
      </c>
      <c r="AE14">
        <v>194.4</v>
      </c>
      <c r="AF14">
        <v>44.1</v>
      </c>
      <c r="AG14">
        <v>96.48</v>
      </c>
      <c r="AH14">
        <v>92.88</v>
      </c>
      <c r="AI14">
        <v>427.86</v>
      </c>
    </row>
    <row r="15" spans="1:35" ht="30" customHeight="1" x14ac:dyDescent="0.25">
      <c r="A15">
        <v>2035</v>
      </c>
      <c r="B15" s="2" t="s">
        <v>138</v>
      </c>
      <c r="C15">
        <f>PDP8_revised!C15</f>
        <v>42.5</v>
      </c>
      <c r="D15">
        <v>0.14155251099999999</v>
      </c>
      <c r="E15">
        <v>117.8</v>
      </c>
      <c r="F15">
        <v>7.5</v>
      </c>
      <c r="G15">
        <v>620</v>
      </c>
      <c r="H15">
        <v>4.34</v>
      </c>
      <c r="I15">
        <v>16.5</v>
      </c>
      <c r="J15">
        <v>66</v>
      </c>
      <c r="K15">
        <v>4</v>
      </c>
      <c r="L15">
        <v>89</v>
      </c>
      <c r="M15">
        <v>170</v>
      </c>
      <c r="N15">
        <v>1.1559999999999999</v>
      </c>
      <c r="O15">
        <v>10</v>
      </c>
      <c r="P15">
        <v>7.5</v>
      </c>
      <c r="Q15">
        <v>32.5</v>
      </c>
      <c r="R15">
        <v>25</v>
      </c>
      <c r="S15">
        <v>40</v>
      </c>
      <c r="T15">
        <v>8.5</v>
      </c>
      <c r="U15">
        <v>11</v>
      </c>
      <c r="V15">
        <v>9</v>
      </c>
      <c r="W15">
        <v>2.15</v>
      </c>
      <c r="X15">
        <v>2.25</v>
      </c>
      <c r="Y15">
        <v>2500</v>
      </c>
      <c r="Z15">
        <v>0.9</v>
      </c>
      <c r="AA15">
        <v>5.74</v>
      </c>
      <c r="AB15">
        <v>3.9550000000000001</v>
      </c>
      <c r="AC15">
        <v>8.61</v>
      </c>
      <c r="AD15">
        <v>7.35</v>
      </c>
      <c r="AE15">
        <v>195.75</v>
      </c>
      <c r="AF15">
        <v>44.55</v>
      </c>
      <c r="AG15">
        <v>97.2</v>
      </c>
      <c r="AH15">
        <v>93.6</v>
      </c>
      <c r="AI15">
        <v>431.1</v>
      </c>
    </row>
    <row r="16" spans="1:35" ht="30" customHeight="1" x14ac:dyDescent="0.25">
      <c r="A16">
        <v>2036</v>
      </c>
      <c r="B16" s="2" t="s">
        <v>138</v>
      </c>
      <c r="C16">
        <f>PDP8_revised!C16</f>
        <v>46</v>
      </c>
      <c r="D16">
        <v>0.14155251099999999</v>
      </c>
      <c r="E16">
        <v>126.48</v>
      </c>
      <c r="F16">
        <v>8</v>
      </c>
      <c r="G16">
        <v>608</v>
      </c>
      <c r="H16">
        <v>4.2560000000000002</v>
      </c>
      <c r="I16">
        <v>18.2</v>
      </c>
      <c r="J16">
        <v>72.8</v>
      </c>
      <c r="K16">
        <v>4</v>
      </c>
      <c r="L16">
        <v>89.2</v>
      </c>
      <c r="M16">
        <v>164</v>
      </c>
      <c r="N16">
        <v>1.1152</v>
      </c>
      <c r="O16">
        <v>11</v>
      </c>
      <c r="P16">
        <v>8.4</v>
      </c>
      <c r="Q16">
        <v>36</v>
      </c>
      <c r="R16">
        <v>28</v>
      </c>
      <c r="S16">
        <v>44</v>
      </c>
      <c r="T16">
        <v>9.8000000000000007</v>
      </c>
      <c r="U16">
        <v>12.4</v>
      </c>
      <c r="V16">
        <v>10.199999999999999</v>
      </c>
      <c r="W16">
        <v>2.42</v>
      </c>
      <c r="X16">
        <v>2.2999999999999998</v>
      </c>
      <c r="Y16">
        <v>2700</v>
      </c>
      <c r="Z16">
        <v>0.96</v>
      </c>
      <c r="AA16">
        <v>5.8520000000000003</v>
      </c>
      <c r="AB16">
        <v>4.032</v>
      </c>
      <c r="AC16">
        <v>8.7080000000000002</v>
      </c>
      <c r="AD16">
        <v>7.42</v>
      </c>
      <c r="AE16">
        <v>197.1</v>
      </c>
      <c r="AF16">
        <v>45</v>
      </c>
      <c r="AG16">
        <v>97.92</v>
      </c>
      <c r="AH16">
        <v>94.32</v>
      </c>
      <c r="AI16">
        <v>434.34</v>
      </c>
    </row>
    <row r="17" spans="1:35" ht="30" customHeight="1" x14ac:dyDescent="0.25">
      <c r="A17">
        <v>2037</v>
      </c>
      <c r="B17" s="2" t="s">
        <v>138</v>
      </c>
      <c r="C17">
        <f>PDP8_revised!C17</f>
        <v>49.5</v>
      </c>
      <c r="D17">
        <v>0.14155251099999999</v>
      </c>
      <c r="E17">
        <v>135.16</v>
      </c>
      <c r="F17">
        <v>8.5</v>
      </c>
      <c r="G17">
        <v>596</v>
      </c>
      <c r="H17">
        <v>4.1719999999999997</v>
      </c>
      <c r="I17">
        <v>19.899999999999999</v>
      </c>
      <c r="J17">
        <v>79.599999999999994</v>
      </c>
      <c r="K17">
        <v>4</v>
      </c>
      <c r="L17">
        <v>89.4</v>
      </c>
      <c r="M17">
        <v>158</v>
      </c>
      <c r="N17">
        <v>1.0744</v>
      </c>
      <c r="O17">
        <v>12</v>
      </c>
      <c r="P17">
        <v>9.3000000000000007</v>
      </c>
      <c r="Q17">
        <v>39.5</v>
      </c>
      <c r="R17">
        <v>31</v>
      </c>
      <c r="S17">
        <v>48</v>
      </c>
      <c r="T17">
        <v>11.1</v>
      </c>
      <c r="U17">
        <v>13.8</v>
      </c>
      <c r="V17">
        <v>11.4</v>
      </c>
      <c r="W17">
        <v>2.69</v>
      </c>
      <c r="X17">
        <v>2.35</v>
      </c>
      <c r="Y17">
        <v>2900</v>
      </c>
      <c r="Z17">
        <v>1.02</v>
      </c>
      <c r="AA17">
        <v>5.9640000000000004</v>
      </c>
      <c r="AB17">
        <v>4.109</v>
      </c>
      <c r="AC17">
        <v>8.8059999999999992</v>
      </c>
      <c r="AD17">
        <v>7.49</v>
      </c>
      <c r="AE17">
        <v>198.45</v>
      </c>
      <c r="AF17">
        <v>45.45</v>
      </c>
      <c r="AG17">
        <v>98.64</v>
      </c>
      <c r="AH17">
        <v>95.04</v>
      </c>
      <c r="AI17">
        <v>437.58</v>
      </c>
    </row>
    <row r="18" spans="1:35" ht="30" customHeight="1" x14ac:dyDescent="0.25">
      <c r="A18">
        <v>2038</v>
      </c>
      <c r="B18" s="2" t="s">
        <v>138</v>
      </c>
      <c r="C18">
        <f>PDP8_revised!C18</f>
        <v>53</v>
      </c>
      <c r="D18">
        <v>0.14155251099999999</v>
      </c>
      <c r="E18">
        <v>143.84</v>
      </c>
      <c r="F18">
        <v>9</v>
      </c>
      <c r="G18">
        <v>584</v>
      </c>
      <c r="H18">
        <v>4.0880000000000001</v>
      </c>
      <c r="I18">
        <v>21.6</v>
      </c>
      <c r="J18">
        <v>86.4</v>
      </c>
      <c r="K18">
        <v>4</v>
      </c>
      <c r="L18">
        <v>89.6</v>
      </c>
      <c r="M18">
        <v>152</v>
      </c>
      <c r="N18">
        <v>1.0336000000000001</v>
      </c>
      <c r="O18">
        <v>13</v>
      </c>
      <c r="P18">
        <v>10.199999999999999</v>
      </c>
      <c r="Q18">
        <v>43</v>
      </c>
      <c r="R18">
        <v>34</v>
      </c>
      <c r="S18">
        <v>52</v>
      </c>
      <c r="T18">
        <v>12.4</v>
      </c>
      <c r="U18">
        <v>15.2</v>
      </c>
      <c r="V18">
        <v>12.6</v>
      </c>
      <c r="W18">
        <v>2.96</v>
      </c>
      <c r="X18">
        <v>2.4</v>
      </c>
      <c r="Y18">
        <v>3100</v>
      </c>
      <c r="Z18">
        <v>1.08</v>
      </c>
      <c r="AA18">
        <v>6.0759999999999996</v>
      </c>
      <c r="AB18">
        <v>4.1859999999999999</v>
      </c>
      <c r="AC18">
        <v>8.9039999999999999</v>
      </c>
      <c r="AD18">
        <v>7.56</v>
      </c>
      <c r="AE18">
        <v>199.8</v>
      </c>
      <c r="AF18">
        <v>45.9</v>
      </c>
      <c r="AG18">
        <v>99.36</v>
      </c>
      <c r="AH18">
        <v>95.76</v>
      </c>
      <c r="AI18">
        <v>440.82</v>
      </c>
    </row>
    <row r="19" spans="1:35" ht="30" customHeight="1" x14ac:dyDescent="0.25">
      <c r="A19">
        <v>2039</v>
      </c>
      <c r="B19" s="2" t="s">
        <v>138</v>
      </c>
      <c r="C19">
        <f>PDP8_revised!C19</f>
        <v>56.5</v>
      </c>
      <c r="D19">
        <v>0.14155251099999999</v>
      </c>
      <c r="E19">
        <v>152.52000000000001</v>
      </c>
      <c r="F19">
        <v>9.5</v>
      </c>
      <c r="G19">
        <v>572</v>
      </c>
      <c r="H19">
        <v>4.0039999999999996</v>
      </c>
      <c r="I19">
        <v>23.3</v>
      </c>
      <c r="J19">
        <v>93.2</v>
      </c>
      <c r="K19">
        <v>4</v>
      </c>
      <c r="L19">
        <v>89.8</v>
      </c>
      <c r="M19">
        <v>146</v>
      </c>
      <c r="N19">
        <v>0.99280000000000002</v>
      </c>
      <c r="O19">
        <v>14</v>
      </c>
      <c r="P19">
        <v>11.1</v>
      </c>
      <c r="Q19">
        <v>46.5</v>
      </c>
      <c r="R19">
        <v>37</v>
      </c>
      <c r="S19">
        <v>56</v>
      </c>
      <c r="T19">
        <v>13.7</v>
      </c>
      <c r="U19">
        <v>16.600000000000001</v>
      </c>
      <c r="V19">
        <v>13.8</v>
      </c>
      <c r="W19">
        <v>3.23</v>
      </c>
      <c r="X19">
        <v>2.4500000000000002</v>
      </c>
      <c r="Y19">
        <v>3300</v>
      </c>
      <c r="Z19">
        <v>1.1399999999999999</v>
      </c>
      <c r="AA19">
        <v>6.1879999999999997</v>
      </c>
      <c r="AB19">
        <v>4.2629999999999999</v>
      </c>
      <c r="AC19">
        <v>9.0020000000000007</v>
      </c>
      <c r="AD19">
        <v>7.63</v>
      </c>
      <c r="AE19">
        <v>201.15</v>
      </c>
      <c r="AF19">
        <v>46.35</v>
      </c>
      <c r="AG19">
        <v>100.08</v>
      </c>
      <c r="AH19">
        <v>96.48</v>
      </c>
      <c r="AI19">
        <v>444.06</v>
      </c>
    </row>
    <row r="20" spans="1:35" ht="30" customHeight="1" x14ac:dyDescent="0.25">
      <c r="A20">
        <v>2040</v>
      </c>
      <c r="B20" s="2" t="s">
        <v>138</v>
      </c>
      <c r="C20">
        <f>PDP8_revised!C20</f>
        <v>60</v>
      </c>
      <c r="D20">
        <v>0.14155251099999999</v>
      </c>
      <c r="E20">
        <v>161.19999999999999</v>
      </c>
      <c r="F20">
        <v>10</v>
      </c>
      <c r="G20">
        <v>560</v>
      </c>
      <c r="H20">
        <v>3.92</v>
      </c>
      <c r="I20">
        <v>25</v>
      </c>
      <c r="J20">
        <v>100</v>
      </c>
      <c r="K20">
        <v>4</v>
      </c>
      <c r="L20">
        <v>90</v>
      </c>
      <c r="M20">
        <v>140</v>
      </c>
      <c r="N20">
        <v>0.95199999999999996</v>
      </c>
      <c r="O20">
        <v>15</v>
      </c>
      <c r="P20">
        <v>12</v>
      </c>
      <c r="Q20">
        <v>50</v>
      </c>
      <c r="R20">
        <v>40</v>
      </c>
      <c r="S20">
        <v>60</v>
      </c>
      <c r="T20">
        <v>15</v>
      </c>
      <c r="U20">
        <v>18</v>
      </c>
      <c r="V20">
        <v>15</v>
      </c>
      <c r="W20">
        <v>3.5</v>
      </c>
      <c r="X20">
        <v>2.5</v>
      </c>
      <c r="Y20">
        <v>3500</v>
      </c>
      <c r="Z20">
        <v>1.2</v>
      </c>
      <c r="AA20">
        <v>6.3</v>
      </c>
      <c r="AB20">
        <v>4.34</v>
      </c>
      <c r="AC20">
        <v>9.1</v>
      </c>
      <c r="AD20">
        <v>7.7</v>
      </c>
      <c r="AE20">
        <v>202.5</v>
      </c>
      <c r="AF20">
        <v>46.8</v>
      </c>
      <c r="AG20">
        <v>100.8</v>
      </c>
      <c r="AH20">
        <v>97.2</v>
      </c>
      <c r="AI20">
        <v>447.3</v>
      </c>
    </row>
    <row r="21" spans="1:35" ht="30" customHeight="1" x14ac:dyDescent="0.25">
      <c r="A21">
        <v>2041</v>
      </c>
      <c r="B21" s="2" t="s">
        <v>138</v>
      </c>
      <c r="C21">
        <f>PDP8_revised!C21</f>
        <v>63.5</v>
      </c>
      <c r="D21">
        <v>0.14155251099999999</v>
      </c>
      <c r="E21">
        <v>168.64</v>
      </c>
      <c r="F21">
        <v>10.4</v>
      </c>
      <c r="G21">
        <v>552</v>
      </c>
      <c r="H21">
        <v>3.3119999999999998</v>
      </c>
      <c r="I21">
        <v>27.5</v>
      </c>
      <c r="J21">
        <v>110</v>
      </c>
      <c r="K21">
        <v>4</v>
      </c>
      <c r="L21">
        <v>90.1</v>
      </c>
      <c r="M21">
        <v>137</v>
      </c>
      <c r="N21">
        <v>1.37</v>
      </c>
      <c r="O21">
        <v>16</v>
      </c>
      <c r="P21">
        <v>13</v>
      </c>
      <c r="Q21">
        <v>53.5</v>
      </c>
      <c r="R21">
        <v>44</v>
      </c>
      <c r="S21">
        <v>63.5</v>
      </c>
      <c r="T21">
        <v>17.5</v>
      </c>
      <c r="U21">
        <v>20.7</v>
      </c>
      <c r="V21">
        <v>17.5</v>
      </c>
      <c r="W21">
        <v>3.95</v>
      </c>
      <c r="X21">
        <v>2.5499999999999998</v>
      </c>
      <c r="Y21">
        <v>3750</v>
      </c>
      <c r="Z21">
        <v>1.18</v>
      </c>
      <c r="AA21">
        <v>6.37</v>
      </c>
      <c r="AB21">
        <v>4.3959999999999999</v>
      </c>
      <c r="AC21">
        <v>9.17</v>
      </c>
      <c r="AD21">
        <v>7.77</v>
      </c>
      <c r="AE21">
        <v>202.95</v>
      </c>
      <c r="AF21">
        <v>47.07</v>
      </c>
      <c r="AG21">
        <v>101.34</v>
      </c>
      <c r="AH21">
        <v>97.56</v>
      </c>
      <c r="AI21">
        <v>448.92</v>
      </c>
    </row>
    <row r="22" spans="1:35" ht="30" customHeight="1" x14ac:dyDescent="0.25">
      <c r="A22">
        <v>2042</v>
      </c>
      <c r="B22" s="2" t="s">
        <v>138</v>
      </c>
      <c r="C22">
        <f>PDP8_revised!C22</f>
        <v>67</v>
      </c>
      <c r="D22">
        <v>0.14155251099999999</v>
      </c>
      <c r="E22">
        <v>176.08</v>
      </c>
      <c r="F22">
        <v>10.8</v>
      </c>
      <c r="G22">
        <v>544</v>
      </c>
      <c r="H22">
        <v>3.2639999999999998</v>
      </c>
      <c r="I22">
        <v>30</v>
      </c>
      <c r="J22">
        <v>120</v>
      </c>
      <c r="K22">
        <v>4</v>
      </c>
      <c r="L22">
        <v>90.2</v>
      </c>
      <c r="M22">
        <v>134</v>
      </c>
      <c r="N22">
        <v>1.34</v>
      </c>
      <c r="O22">
        <v>17</v>
      </c>
      <c r="P22">
        <v>14</v>
      </c>
      <c r="Q22">
        <v>57</v>
      </c>
      <c r="R22">
        <v>48</v>
      </c>
      <c r="S22">
        <v>67</v>
      </c>
      <c r="T22">
        <v>20</v>
      </c>
      <c r="U22">
        <v>23.4</v>
      </c>
      <c r="V22">
        <v>20</v>
      </c>
      <c r="W22">
        <v>4.4000000000000004</v>
      </c>
      <c r="X22">
        <v>2.6</v>
      </c>
      <c r="Y22">
        <v>4000</v>
      </c>
      <c r="Z22">
        <v>1.1599999999999999</v>
      </c>
      <c r="AA22">
        <v>6.44</v>
      </c>
      <c r="AB22">
        <v>4.452</v>
      </c>
      <c r="AC22">
        <v>9.24</v>
      </c>
      <c r="AD22">
        <v>7.84</v>
      </c>
      <c r="AE22">
        <v>203.4</v>
      </c>
      <c r="AF22">
        <v>47.34</v>
      </c>
      <c r="AG22">
        <v>101.88</v>
      </c>
      <c r="AH22">
        <v>97.92</v>
      </c>
      <c r="AI22">
        <v>450.54</v>
      </c>
    </row>
    <row r="23" spans="1:35" ht="30" customHeight="1" x14ac:dyDescent="0.25">
      <c r="A23">
        <v>2043</v>
      </c>
      <c r="B23" s="2" t="s">
        <v>138</v>
      </c>
      <c r="C23">
        <f>PDP8_revised!C23</f>
        <v>70.5</v>
      </c>
      <c r="D23">
        <v>0.14155251099999999</v>
      </c>
      <c r="E23">
        <v>183.52</v>
      </c>
      <c r="F23">
        <v>11.2</v>
      </c>
      <c r="G23">
        <v>536</v>
      </c>
      <c r="H23">
        <v>3.2160000000000002</v>
      </c>
      <c r="I23">
        <v>32.5</v>
      </c>
      <c r="J23">
        <v>130</v>
      </c>
      <c r="K23">
        <v>4</v>
      </c>
      <c r="L23">
        <v>90.3</v>
      </c>
      <c r="M23">
        <v>131</v>
      </c>
      <c r="N23">
        <v>1.31</v>
      </c>
      <c r="O23">
        <v>18</v>
      </c>
      <c r="P23">
        <v>15</v>
      </c>
      <c r="Q23">
        <v>60.5</v>
      </c>
      <c r="R23">
        <v>52</v>
      </c>
      <c r="S23">
        <v>70.5</v>
      </c>
      <c r="T23">
        <v>22.5</v>
      </c>
      <c r="U23">
        <v>26.1</v>
      </c>
      <c r="V23">
        <v>22.5</v>
      </c>
      <c r="W23">
        <v>4.8499999999999996</v>
      </c>
      <c r="X23">
        <v>2.65</v>
      </c>
      <c r="Y23">
        <v>4250</v>
      </c>
      <c r="Z23">
        <v>1.1399999999999999</v>
      </c>
      <c r="AA23">
        <v>6.51</v>
      </c>
      <c r="AB23">
        <v>4.508</v>
      </c>
      <c r="AC23">
        <v>9.31</v>
      </c>
      <c r="AD23">
        <v>7.91</v>
      </c>
      <c r="AE23">
        <v>203.85</v>
      </c>
      <c r="AF23">
        <v>47.61</v>
      </c>
      <c r="AG23">
        <v>102.42</v>
      </c>
      <c r="AH23">
        <v>98.28</v>
      </c>
      <c r="AI23">
        <v>452.16</v>
      </c>
    </row>
    <row r="24" spans="1:35" ht="30" customHeight="1" x14ac:dyDescent="0.25">
      <c r="A24">
        <v>2044</v>
      </c>
      <c r="B24" s="2" t="s">
        <v>138</v>
      </c>
      <c r="C24">
        <f>PDP8_revised!C24</f>
        <v>74</v>
      </c>
      <c r="D24">
        <v>0.14155251099999999</v>
      </c>
      <c r="E24">
        <v>190.96</v>
      </c>
      <c r="F24">
        <v>11.6</v>
      </c>
      <c r="G24">
        <v>528</v>
      </c>
      <c r="H24">
        <v>3.1680000000000001</v>
      </c>
      <c r="I24">
        <v>35</v>
      </c>
      <c r="J24">
        <v>140</v>
      </c>
      <c r="K24">
        <v>4</v>
      </c>
      <c r="L24">
        <v>90.4</v>
      </c>
      <c r="M24">
        <v>128</v>
      </c>
      <c r="N24">
        <v>1.28</v>
      </c>
      <c r="O24">
        <v>19</v>
      </c>
      <c r="P24">
        <v>16</v>
      </c>
      <c r="Q24">
        <v>64</v>
      </c>
      <c r="R24">
        <v>56</v>
      </c>
      <c r="S24">
        <v>74</v>
      </c>
      <c r="T24">
        <v>25</v>
      </c>
      <c r="U24">
        <v>28.8</v>
      </c>
      <c r="V24">
        <v>25</v>
      </c>
      <c r="W24">
        <v>5.3</v>
      </c>
      <c r="X24">
        <v>2.7</v>
      </c>
      <c r="Y24">
        <v>4500</v>
      </c>
      <c r="Z24">
        <v>1.1200000000000001</v>
      </c>
      <c r="AA24">
        <v>6.58</v>
      </c>
      <c r="AB24">
        <v>4.5640000000000001</v>
      </c>
      <c r="AC24">
        <v>9.3800000000000008</v>
      </c>
      <c r="AD24">
        <v>7.98</v>
      </c>
      <c r="AE24">
        <v>204.3</v>
      </c>
      <c r="AF24">
        <v>47.88</v>
      </c>
      <c r="AG24">
        <v>102.96</v>
      </c>
      <c r="AH24">
        <v>98.64</v>
      </c>
      <c r="AI24">
        <v>453.78</v>
      </c>
    </row>
    <row r="25" spans="1:35" ht="30" customHeight="1" x14ac:dyDescent="0.25">
      <c r="A25">
        <v>2045</v>
      </c>
      <c r="B25" s="2" t="s">
        <v>138</v>
      </c>
      <c r="C25">
        <f>PDP8_revised!C25</f>
        <v>77.5</v>
      </c>
      <c r="D25">
        <v>0.14155251099999999</v>
      </c>
      <c r="E25">
        <v>198.4</v>
      </c>
      <c r="F25">
        <v>12</v>
      </c>
      <c r="G25">
        <v>520</v>
      </c>
      <c r="H25">
        <v>3.12</v>
      </c>
      <c r="I25">
        <v>37.5</v>
      </c>
      <c r="J25">
        <v>150</v>
      </c>
      <c r="K25">
        <v>4</v>
      </c>
      <c r="L25">
        <v>90.5</v>
      </c>
      <c r="M25">
        <v>125</v>
      </c>
      <c r="N25">
        <v>1.25</v>
      </c>
      <c r="O25">
        <v>20</v>
      </c>
      <c r="P25">
        <v>17</v>
      </c>
      <c r="Q25">
        <v>67.5</v>
      </c>
      <c r="R25">
        <v>60</v>
      </c>
      <c r="S25">
        <v>77.5</v>
      </c>
      <c r="T25">
        <v>27.5</v>
      </c>
      <c r="U25">
        <v>31.5</v>
      </c>
      <c r="V25">
        <v>27.5</v>
      </c>
      <c r="W25">
        <v>5.75</v>
      </c>
      <c r="X25">
        <v>2.75</v>
      </c>
      <c r="Y25">
        <v>4750</v>
      </c>
      <c r="Z25">
        <v>1.1000000000000001</v>
      </c>
      <c r="AA25">
        <v>6.65</v>
      </c>
      <c r="AB25">
        <v>4.62</v>
      </c>
      <c r="AC25">
        <v>9.4499999999999993</v>
      </c>
      <c r="AD25">
        <v>8.0500000000000007</v>
      </c>
      <c r="AE25">
        <v>204.75</v>
      </c>
      <c r="AF25">
        <v>48.15</v>
      </c>
      <c r="AG25">
        <v>103.5</v>
      </c>
      <c r="AH25">
        <v>99</v>
      </c>
      <c r="AI25">
        <v>455.4</v>
      </c>
    </row>
    <row r="26" spans="1:35" ht="30" customHeight="1" x14ac:dyDescent="0.25">
      <c r="A26">
        <v>2046</v>
      </c>
      <c r="B26" s="2" t="s">
        <v>138</v>
      </c>
      <c r="C26">
        <f>PDP8_revised!C26</f>
        <v>81</v>
      </c>
      <c r="D26">
        <v>0.14155251099999999</v>
      </c>
      <c r="E26">
        <v>205.84</v>
      </c>
      <c r="F26">
        <v>12.4</v>
      </c>
      <c r="G26">
        <v>512</v>
      </c>
      <c r="H26">
        <v>3.0720000000000001</v>
      </c>
      <c r="I26">
        <v>40</v>
      </c>
      <c r="J26">
        <v>160</v>
      </c>
      <c r="K26">
        <v>4</v>
      </c>
      <c r="L26">
        <v>90.6</v>
      </c>
      <c r="M26">
        <v>122</v>
      </c>
      <c r="N26">
        <v>1.22</v>
      </c>
      <c r="O26">
        <v>21</v>
      </c>
      <c r="P26">
        <v>18</v>
      </c>
      <c r="Q26">
        <v>71</v>
      </c>
      <c r="R26">
        <v>64</v>
      </c>
      <c r="S26">
        <v>81</v>
      </c>
      <c r="T26">
        <v>30</v>
      </c>
      <c r="U26">
        <v>34.200000000000003</v>
      </c>
      <c r="V26">
        <v>30</v>
      </c>
      <c r="W26">
        <v>6.2</v>
      </c>
      <c r="X26">
        <v>2.8</v>
      </c>
      <c r="Y26">
        <v>5000</v>
      </c>
      <c r="Z26">
        <v>1.08</v>
      </c>
      <c r="AA26">
        <v>6.72</v>
      </c>
      <c r="AB26">
        <v>4.6760000000000002</v>
      </c>
      <c r="AC26">
        <v>9.52</v>
      </c>
      <c r="AD26">
        <v>8.1199999999999992</v>
      </c>
      <c r="AE26">
        <v>205.2</v>
      </c>
      <c r="AF26">
        <v>48.42</v>
      </c>
      <c r="AG26">
        <v>104.04</v>
      </c>
      <c r="AH26">
        <v>99.36</v>
      </c>
      <c r="AI26">
        <v>457.02</v>
      </c>
    </row>
    <row r="27" spans="1:35" ht="30" customHeight="1" x14ac:dyDescent="0.25">
      <c r="A27">
        <v>2047</v>
      </c>
      <c r="B27" s="2" t="s">
        <v>138</v>
      </c>
      <c r="C27">
        <f>PDP8_revised!C27</f>
        <v>84.5</v>
      </c>
      <c r="D27">
        <v>0.14155251099999999</v>
      </c>
      <c r="E27">
        <v>213.28</v>
      </c>
      <c r="F27">
        <v>12.8</v>
      </c>
      <c r="G27">
        <v>504</v>
      </c>
      <c r="H27">
        <v>3.024</v>
      </c>
      <c r="I27">
        <v>42.5</v>
      </c>
      <c r="J27">
        <v>170</v>
      </c>
      <c r="K27">
        <v>4</v>
      </c>
      <c r="L27">
        <v>90.7</v>
      </c>
      <c r="M27">
        <v>119</v>
      </c>
      <c r="N27">
        <v>1.19</v>
      </c>
      <c r="O27">
        <v>22</v>
      </c>
      <c r="P27">
        <v>19</v>
      </c>
      <c r="Q27">
        <v>74.5</v>
      </c>
      <c r="R27">
        <v>68</v>
      </c>
      <c r="S27">
        <v>84.5</v>
      </c>
      <c r="T27">
        <v>32.5</v>
      </c>
      <c r="U27">
        <v>36.9</v>
      </c>
      <c r="V27">
        <v>32.5</v>
      </c>
      <c r="W27">
        <v>6.65</v>
      </c>
      <c r="X27">
        <v>2.85</v>
      </c>
      <c r="Y27">
        <v>5250</v>
      </c>
      <c r="Z27">
        <v>1.06</v>
      </c>
      <c r="AA27">
        <v>6.79</v>
      </c>
      <c r="AB27">
        <v>4.7320000000000002</v>
      </c>
      <c r="AC27">
        <v>9.59</v>
      </c>
      <c r="AD27">
        <v>8.19</v>
      </c>
      <c r="AE27">
        <v>205.65</v>
      </c>
      <c r="AF27">
        <v>48.69</v>
      </c>
      <c r="AG27">
        <v>104.58</v>
      </c>
      <c r="AH27">
        <v>99.72</v>
      </c>
      <c r="AI27">
        <v>458.64</v>
      </c>
    </row>
    <row r="28" spans="1:35" ht="30" customHeight="1" x14ac:dyDescent="0.25">
      <c r="A28">
        <v>2048</v>
      </c>
      <c r="B28" s="2" t="s">
        <v>138</v>
      </c>
      <c r="C28">
        <f>PDP8_revised!C28</f>
        <v>88</v>
      </c>
      <c r="D28">
        <v>0.14155251099999999</v>
      </c>
      <c r="E28">
        <v>220.72</v>
      </c>
      <c r="F28">
        <v>13.2</v>
      </c>
      <c r="G28">
        <v>496</v>
      </c>
      <c r="H28">
        <v>2.976</v>
      </c>
      <c r="I28">
        <v>45</v>
      </c>
      <c r="J28">
        <v>180</v>
      </c>
      <c r="K28">
        <v>4</v>
      </c>
      <c r="L28">
        <v>90.8</v>
      </c>
      <c r="M28">
        <v>116</v>
      </c>
      <c r="N28">
        <v>1.1599999999999999</v>
      </c>
      <c r="O28">
        <v>23</v>
      </c>
      <c r="P28">
        <v>20</v>
      </c>
      <c r="Q28">
        <v>78</v>
      </c>
      <c r="R28">
        <v>72</v>
      </c>
      <c r="S28">
        <v>88</v>
      </c>
      <c r="T28">
        <v>35</v>
      </c>
      <c r="U28">
        <v>39.6</v>
      </c>
      <c r="V28">
        <v>35</v>
      </c>
      <c r="W28">
        <v>7.1</v>
      </c>
      <c r="X28">
        <v>2.9</v>
      </c>
      <c r="Y28">
        <v>5500</v>
      </c>
      <c r="Z28">
        <v>1.04</v>
      </c>
      <c r="AA28">
        <v>6.86</v>
      </c>
      <c r="AB28">
        <v>4.7880000000000003</v>
      </c>
      <c r="AC28">
        <v>9.66</v>
      </c>
      <c r="AD28">
        <v>8.26</v>
      </c>
      <c r="AE28">
        <v>206.1</v>
      </c>
      <c r="AF28">
        <v>48.96</v>
      </c>
      <c r="AG28">
        <v>105.12</v>
      </c>
      <c r="AH28">
        <v>100.08</v>
      </c>
      <c r="AI28">
        <v>460.26</v>
      </c>
    </row>
    <row r="29" spans="1:35" ht="30" customHeight="1" x14ac:dyDescent="0.25">
      <c r="A29">
        <v>2049</v>
      </c>
      <c r="B29" s="2" t="s">
        <v>138</v>
      </c>
      <c r="C29">
        <f>PDP8_revised!C29</f>
        <v>91.5</v>
      </c>
      <c r="D29">
        <v>0.14155251099999999</v>
      </c>
      <c r="E29">
        <v>228.16</v>
      </c>
      <c r="F29">
        <v>13.6</v>
      </c>
      <c r="G29">
        <v>488</v>
      </c>
      <c r="H29">
        <v>2.9279999999999999</v>
      </c>
      <c r="I29">
        <v>47.5</v>
      </c>
      <c r="J29">
        <v>190</v>
      </c>
      <c r="K29">
        <v>4</v>
      </c>
      <c r="L29">
        <v>90.9</v>
      </c>
      <c r="M29">
        <v>113</v>
      </c>
      <c r="N29">
        <v>1.1299999999999999</v>
      </c>
      <c r="O29">
        <v>24</v>
      </c>
      <c r="P29">
        <v>21</v>
      </c>
      <c r="Q29">
        <v>81.5</v>
      </c>
      <c r="R29">
        <v>76</v>
      </c>
      <c r="S29">
        <v>91.5</v>
      </c>
      <c r="T29">
        <v>37.5</v>
      </c>
      <c r="U29">
        <v>42.3</v>
      </c>
      <c r="V29">
        <v>37.5</v>
      </c>
      <c r="W29">
        <v>7.55</v>
      </c>
      <c r="X29">
        <v>2.95</v>
      </c>
      <c r="Y29">
        <v>5750</v>
      </c>
      <c r="Z29">
        <v>1.02</v>
      </c>
      <c r="AA29">
        <v>6.93</v>
      </c>
      <c r="AB29">
        <v>4.8440000000000003</v>
      </c>
      <c r="AC29">
        <v>9.73</v>
      </c>
      <c r="AD29">
        <v>8.33</v>
      </c>
      <c r="AE29">
        <v>206.55</v>
      </c>
      <c r="AF29">
        <v>49.23</v>
      </c>
      <c r="AG29">
        <v>105.66</v>
      </c>
      <c r="AH29">
        <v>100.44</v>
      </c>
      <c r="AI29">
        <v>461.88</v>
      </c>
    </row>
    <row r="30" spans="1:35" ht="30" customHeight="1" x14ac:dyDescent="0.25">
      <c r="A30">
        <v>2050</v>
      </c>
      <c r="B30" s="2" t="s">
        <v>138</v>
      </c>
      <c r="C30">
        <f>PDP8_revised!C30</f>
        <v>95</v>
      </c>
      <c r="D30">
        <v>0.14155251099999999</v>
      </c>
      <c r="E30">
        <v>235.6</v>
      </c>
      <c r="F30">
        <v>14</v>
      </c>
      <c r="G30">
        <v>480</v>
      </c>
      <c r="H30">
        <v>2.88</v>
      </c>
      <c r="I30">
        <v>50</v>
      </c>
      <c r="J30">
        <v>200</v>
      </c>
      <c r="K30">
        <v>4</v>
      </c>
      <c r="L30">
        <v>91</v>
      </c>
      <c r="M30">
        <v>110</v>
      </c>
      <c r="N30">
        <v>1.1000000000000001</v>
      </c>
      <c r="O30">
        <v>25</v>
      </c>
      <c r="P30">
        <v>22</v>
      </c>
      <c r="Q30">
        <v>85</v>
      </c>
      <c r="R30">
        <v>80</v>
      </c>
      <c r="S30">
        <v>95</v>
      </c>
      <c r="T30">
        <v>40</v>
      </c>
      <c r="U30">
        <v>45</v>
      </c>
      <c r="V30">
        <v>40</v>
      </c>
      <c r="W30">
        <v>8</v>
      </c>
      <c r="X30">
        <v>3</v>
      </c>
      <c r="Y30">
        <v>6000</v>
      </c>
      <c r="Z30">
        <v>1</v>
      </c>
      <c r="AA30">
        <v>7</v>
      </c>
      <c r="AB30">
        <v>4.9000000000000004</v>
      </c>
      <c r="AC30">
        <v>9.8000000000000007</v>
      </c>
      <c r="AD30">
        <v>8.4</v>
      </c>
      <c r="AE30">
        <v>207</v>
      </c>
      <c r="AF30">
        <v>49.5</v>
      </c>
      <c r="AG30">
        <v>106.2</v>
      </c>
      <c r="AH30">
        <v>100.8</v>
      </c>
      <c r="AI30">
        <v>463.5</v>
      </c>
    </row>
  </sheetData>
  <mergeCells count="3">
    <mergeCell ref="B1:C1"/>
    <mergeCell ref="B3:C3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0"/>
  <sheetViews>
    <sheetView workbookViewId="0">
      <pane ySplit="5" topLeftCell="A6" activePane="bottomLeft" state="frozen"/>
      <selection pane="bottomLeft" activeCell="F5" sqref="F5"/>
    </sheetView>
  </sheetViews>
  <sheetFormatPr defaultRowHeight="15" x14ac:dyDescent="0.25"/>
  <cols>
    <col min="1" max="1" width="16" customWidth="1"/>
    <col min="2" max="2" width="32.85546875" customWidth="1"/>
    <col min="3" max="3" width="34" customWidth="1"/>
    <col min="4" max="5" width="16" customWidth="1"/>
    <col min="6" max="6" width="20" customWidth="1"/>
    <col min="7" max="8" width="16" customWidth="1"/>
    <col min="9" max="9" width="22" customWidth="1"/>
    <col min="10" max="14" width="16" customWidth="1"/>
    <col min="15" max="15" width="22" customWidth="1"/>
    <col min="16" max="16" width="20" customWidth="1"/>
    <col min="17" max="26" width="16" customWidth="1"/>
    <col min="27" max="27" width="22" customWidth="1"/>
    <col min="28" max="36" width="16" customWidth="1"/>
  </cols>
  <sheetData>
    <row r="1" spans="1:35" ht="30" customHeight="1" x14ac:dyDescent="0.25">
      <c r="A1" s="4" t="s">
        <v>0</v>
      </c>
      <c r="B1" s="2" t="s">
        <v>61</v>
      </c>
    </row>
    <row r="2" spans="1:35" ht="30" customHeight="1" x14ac:dyDescent="0.25">
      <c r="A2" s="4" t="s">
        <v>2</v>
      </c>
      <c r="B2" s="2" t="s">
        <v>140</v>
      </c>
    </row>
    <row r="3" spans="1:35" ht="40.5" customHeight="1" x14ac:dyDescent="0.25">
      <c r="A3" s="4" t="s">
        <v>4</v>
      </c>
      <c r="B3" s="2" t="s">
        <v>5</v>
      </c>
    </row>
    <row r="5" spans="1:35" ht="30" customHeight="1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  <c r="Z5" s="3" t="s">
        <v>31</v>
      </c>
      <c r="AA5" s="6" t="s">
        <v>32</v>
      </c>
      <c r="AB5" s="6" t="s">
        <v>33</v>
      </c>
      <c r="AC5" s="6" t="s">
        <v>34</v>
      </c>
      <c r="AD5" s="6" t="s">
        <v>35</v>
      </c>
      <c r="AE5" s="6" t="s">
        <v>36</v>
      </c>
      <c r="AF5" s="6" t="s">
        <v>37</v>
      </c>
      <c r="AG5" s="6" t="s">
        <v>38</v>
      </c>
      <c r="AH5" s="6" t="s">
        <v>39</v>
      </c>
      <c r="AI5" s="6" t="s">
        <v>40</v>
      </c>
    </row>
    <row r="6" spans="1:35" x14ac:dyDescent="0.25">
      <c r="A6">
        <v>2026</v>
      </c>
      <c r="B6" s="2" t="s">
        <v>140</v>
      </c>
      <c r="C6">
        <v>15</v>
      </c>
      <c r="D6">
        <v>0.14155251099999999</v>
      </c>
      <c r="E6">
        <v>18.600000000000001</v>
      </c>
      <c r="F6">
        <v>0.5</v>
      </c>
      <c r="G6">
        <v>780</v>
      </c>
      <c r="H6">
        <v>4.29</v>
      </c>
      <c r="I6">
        <v>0.8</v>
      </c>
      <c r="J6">
        <v>3.2</v>
      </c>
      <c r="K6">
        <v>4</v>
      </c>
      <c r="L6">
        <v>86</v>
      </c>
      <c r="M6">
        <v>300</v>
      </c>
      <c r="N6">
        <v>0.72</v>
      </c>
      <c r="O6">
        <v>10</v>
      </c>
      <c r="P6">
        <v>10</v>
      </c>
      <c r="Q6">
        <v>1.5</v>
      </c>
      <c r="R6">
        <v>1.5</v>
      </c>
      <c r="S6">
        <v>3</v>
      </c>
      <c r="T6">
        <v>0.5</v>
      </c>
      <c r="U6">
        <v>1</v>
      </c>
      <c r="V6">
        <v>0.7</v>
      </c>
      <c r="W6">
        <v>0.2</v>
      </c>
      <c r="X6">
        <v>3</v>
      </c>
      <c r="Y6">
        <v>3000</v>
      </c>
      <c r="Z6">
        <v>0.3</v>
      </c>
      <c r="AA6">
        <v>2</v>
      </c>
      <c r="AB6">
        <v>1.5</v>
      </c>
      <c r="AC6">
        <v>2</v>
      </c>
      <c r="AD6">
        <v>1.5</v>
      </c>
      <c r="AE6">
        <v>180</v>
      </c>
      <c r="AF6">
        <v>38</v>
      </c>
      <c r="AG6">
        <v>80</v>
      </c>
      <c r="AH6">
        <v>70</v>
      </c>
      <c r="AI6">
        <v>368</v>
      </c>
    </row>
    <row r="7" spans="1:35" x14ac:dyDescent="0.25">
      <c r="A7">
        <v>2027</v>
      </c>
      <c r="B7" s="2" t="s">
        <v>140</v>
      </c>
      <c r="C7">
        <v>20</v>
      </c>
      <c r="D7">
        <v>0.14155251099999999</v>
      </c>
      <c r="E7">
        <v>24.8</v>
      </c>
      <c r="F7">
        <v>1.125</v>
      </c>
      <c r="G7">
        <v>757.5</v>
      </c>
      <c r="H7">
        <v>3.7875000000000001</v>
      </c>
      <c r="I7">
        <v>1.85</v>
      </c>
      <c r="J7">
        <v>7.4</v>
      </c>
      <c r="K7">
        <v>4</v>
      </c>
      <c r="L7">
        <v>86.5</v>
      </c>
      <c r="M7">
        <v>278.75</v>
      </c>
      <c r="N7">
        <v>1.17075</v>
      </c>
      <c r="O7">
        <v>13.75</v>
      </c>
      <c r="P7">
        <v>12.5</v>
      </c>
      <c r="Q7">
        <v>3.625</v>
      </c>
      <c r="R7">
        <v>3.125</v>
      </c>
      <c r="S7">
        <v>6</v>
      </c>
      <c r="T7">
        <v>1.125</v>
      </c>
      <c r="U7">
        <v>1.75</v>
      </c>
      <c r="V7">
        <v>1.2749999999999999</v>
      </c>
      <c r="W7">
        <v>0.4</v>
      </c>
      <c r="X7">
        <v>3.125</v>
      </c>
      <c r="Y7">
        <v>3125</v>
      </c>
      <c r="Z7">
        <v>0.42499999999999999</v>
      </c>
      <c r="AA7">
        <v>3.35</v>
      </c>
      <c r="AB7">
        <v>2.4</v>
      </c>
      <c r="AC7">
        <v>4.4000000000000004</v>
      </c>
      <c r="AD7">
        <v>3.625</v>
      </c>
      <c r="AE7">
        <v>187.5</v>
      </c>
      <c r="AF7">
        <v>40.25</v>
      </c>
      <c r="AG7">
        <v>86</v>
      </c>
      <c r="AH7">
        <v>77.5</v>
      </c>
      <c r="AI7">
        <v>391.25</v>
      </c>
    </row>
    <row r="8" spans="1:35" x14ac:dyDescent="0.25">
      <c r="A8">
        <v>2028</v>
      </c>
      <c r="B8" s="2" t="s">
        <v>140</v>
      </c>
      <c r="C8">
        <v>25</v>
      </c>
      <c r="D8">
        <v>0.14155251099999999</v>
      </c>
      <c r="E8">
        <v>31</v>
      </c>
      <c r="F8">
        <v>1.75</v>
      </c>
      <c r="G8">
        <v>735</v>
      </c>
      <c r="H8">
        <v>3.6749999999999998</v>
      </c>
      <c r="I8">
        <v>2.9</v>
      </c>
      <c r="J8">
        <v>11.6</v>
      </c>
      <c r="K8">
        <v>4</v>
      </c>
      <c r="L8">
        <v>87</v>
      </c>
      <c r="M8">
        <v>257.5</v>
      </c>
      <c r="N8">
        <v>1.0814999999999999</v>
      </c>
      <c r="O8">
        <v>17.5</v>
      </c>
      <c r="P8">
        <v>15</v>
      </c>
      <c r="Q8">
        <v>5.75</v>
      </c>
      <c r="R8">
        <v>4.75</v>
      </c>
      <c r="S8">
        <v>9</v>
      </c>
      <c r="T8">
        <v>1.75</v>
      </c>
      <c r="U8">
        <v>2.5</v>
      </c>
      <c r="V8">
        <v>1.85</v>
      </c>
      <c r="W8">
        <v>0.6</v>
      </c>
      <c r="X8">
        <v>3.25</v>
      </c>
      <c r="Y8">
        <v>3250</v>
      </c>
      <c r="Z8">
        <v>0.55000000000000004</v>
      </c>
      <c r="AA8">
        <v>4.7</v>
      </c>
      <c r="AB8">
        <v>3.3</v>
      </c>
      <c r="AC8">
        <v>6.8</v>
      </c>
      <c r="AD8">
        <v>5.75</v>
      </c>
      <c r="AE8">
        <v>195</v>
      </c>
      <c r="AF8">
        <v>42.5</v>
      </c>
      <c r="AG8">
        <v>92</v>
      </c>
      <c r="AH8">
        <v>85</v>
      </c>
      <c r="AI8">
        <v>414.5</v>
      </c>
    </row>
    <row r="9" spans="1:35" x14ac:dyDescent="0.25">
      <c r="A9">
        <v>2029</v>
      </c>
      <c r="B9" s="2" t="s">
        <v>140</v>
      </c>
      <c r="C9">
        <v>30</v>
      </c>
      <c r="D9">
        <v>0.14155251099999999</v>
      </c>
      <c r="E9">
        <v>37.200000000000003</v>
      </c>
      <c r="F9">
        <v>2.375</v>
      </c>
      <c r="G9">
        <v>712.5</v>
      </c>
      <c r="H9">
        <v>3.5625</v>
      </c>
      <c r="I9">
        <v>3.95</v>
      </c>
      <c r="J9">
        <v>15.8</v>
      </c>
      <c r="K9">
        <v>4</v>
      </c>
      <c r="L9">
        <v>87.5</v>
      </c>
      <c r="M9">
        <v>236.25</v>
      </c>
      <c r="N9">
        <v>0.99224999999999997</v>
      </c>
      <c r="O9">
        <v>21.25</v>
      </c>
      <c r="P9">
        <v>17.5</v>
      </c>
      <c r="Q9">
        <v>7.875</v>
      </c>
      <c r="R9">
        <v>6.375</v>
      </c>
      <c r="S9">
        <v>12</v>
      </c>
      <c r="T9">
        <v>2.375</v>
      </c>
      <c r="U9">
        <v>3.25</v>
      </c>
      <c r="V9">
        <v>2.4249999999999998</v>
      </c>
      <c r="W9">
        <v>0.8</v>
      </c>
      <c r="X9">
        <v>3.375</v>
      </c>
      <c r="Y9">
        <v>3375</v>
      </c>
      <c r="Z9">
        <v>0.67500000000000004</v>
      </c>
      <c r="AA9">
        <v>6.05</v>
      </c>
      <c r="AB9">
        <v>4.2</v>
      </c>
      <c r="AC9">
        <v>9.1999999999999993</v>
      </c>
      <c r="AD9">
        <v>7.875</v>
      </c>
      <c r="AE9">
        <v>202.5</v>
      </c>
      <c r="AF9">
        <v>44.75</v>
      </c>
      <c r="AG9">
        <v>98</v>
      </c>
      <c r="AH9">
        <v>92.5</v>
      </c>
      <c r="AI9">
        <v>437.75</v>
      </c>
    </row>
    <row r="10" spans="1:35" x14ac:dyDescent="0.25">
      <c r="A10">
        <v>2030</v>
      </c>
      <c r="B10" s="2" t="s">
        <v>140</v>
      </c>
      <c r="C10">
        <v>35</v>
      </c>
      <c r="D10">
        <v>0.14155251099999999</v>
      </c>
      <c r="E10">
        <v>43.4</v>
      </c>
      <c r="F10">
        <v>3</v>
      </c>
      <c r="G10">
        <v>690</v>
      </c>
      <c r="H10">
        <v>3.45</v>
      </c>
      <c r="I10">
        <v>5</v>
      </c>
      <c r="J10">
        <v>20</v>
      </c>
      <c r="K10">
        <v>4</v>
      </c>
      <c r="L10">
        <v>88</v>
      </c>
      <c r="M10">
        <v>215</v>
      </c>
      <c r="N10">
        <v>0.90300000000000002</v>
      </c>
      <c r="O10">
        <v>25</v>
      </c>
      <c r="P10">
        <v>20</v>
      </c>
      <c r="Q10">
        <v>10</v>
      </c>
      <c r="R10">
        <v>8</v>
      </c>
      <c r="S10">
        <v>15</v>
      </c>
      <c r="T10">
        <v>3</v>
      </c>
      <c r="U10">
        <v>4</v>
      </c>
      <c r="V10">
        <v>3</v>
      </c>
      <c r="W10">
        <v>1</v>
      </c>
      <c r="X10">
        <v>3.5</v>
      </c>
      <c r="Y10">
        <v>3500</v>
      </c>
      <c r="Z10">
        <v>0.8</v>
      </c>
      <c r="AA10">
        <v>7.4</v>
      </c>
      <c r="AB10">
        <v>5.0999999999999996</v>
      </c>
      <c r="AC10">
        <v>11.6</v>
      </c>
      <c r="AD10">
        <v>10</v>
      </c>
      <c r="AE10">
        <v>210</v>
      </c>
      <c r="AF10">
        <v>47</v>
      </c>
      <c r="AG10">
        <v>104</v>
      </c>
      <c r="AH10">
        <v>100</v>
      </c>
      <c r="AI10">
        <v>461</v>
      </c>
    </row>
    <row r="11" spans="1:35" x14ac:dyDescent="0.25">
      <c r="A11">
        <v>2031</v>
      </c>
      <c r="B11" s="2" t="s">
        <v>140</v>
      </c>
      <c r="C11">
        <v>39</v>
      </c>
      <c r="D11">
        <v>0.14155251099999999</v>
      </c>
      <c r="E11">
        <v>48.36</v>
      </c>
      <c r="F11">
        <v>3.4</v>
      </c>
      <c r="G11">
        <v>678</v>
      </c>
      <c r="H11">
        <v>2.7120000000000002</v>
      </c>
      <c r="I11">
        <v>6</v>
      </c>
      <c r="J11">
        <v>24</v>
      </c>
      <c r="K11">
        <v>4</v>
      </c>
      <c r="L11">
        <v>88.1</v>
      </c>
      <c r="M11">
        <v>208.5</v>
      </c>
      <c r="N11">
        <v>0.83399999999999996</v>
      </c>
      <c r="O11">
        <v>26.5</v>
      </c>
      <c r="P11">
        <v>21.5</v>
      </c>
      <c r="Q11">
        <v>12</v>
      </c>
      <c r="R11">
        <v>9.6999999999999993</v>
      </c>
      <c r="S11">
        <v>18</v>
      </c>
      <c r="T11">
        <v>3.7</v>
      </c>
      <c r="U11">
        <v>5.0999999999999996</v>
      </c>
      <c r="V11">
        <v>3.9</v>
      </c>
      <c r="W11">
        <v>1.2</v>
      </c>
      <c r="X11">
        <v>3.5249999999999999</v>
      </c>
      <c r="Y11">
        <v>3600</v>
      </c>
      <c r="Z11">
        <v>0.8</v>
      </c>
      <c r="AA11">
        <v>7.56</v>
      </c>
      <c r="AB11">
        <v>5.21</v>
      </c>
      <c r="AC11">
        <v>11.74</v>
      </c>
      <c r="AD11">
        <v>10.1</v>
      </c>
      <c r="AE11">
        <v>211.5</v>
      </c>
      <c r="AF11">
        <v>47.5</v>
      </c>
      <c r="AG11">
        <v>104.8</v>
      </c>
      <c r="AH11">
        <v>100.8</v>
      </c>
      <c r="AI11">
        <v>464.6</v>
      </c>
    </row>
    <row r="12" spans="1:35" x14ac:dyDescent="0.25">
      <c r="A12">
        <v>2032</v>
      </c>
      <c r="B12" s="2" t="s">
        <v>140</v>
      </c>
      <c r="C12">
        <v>43</v>
      </c>
      <c r="D12">
        <v>0.14155251099999999</v>
      </c>
      <c r="E12">
        <v>53.32</v>
      </c>
      <c r="F12">
        <v>3.8</v>
      </c>
      <c r="G12">
        <v>666</v>
      </c>
      <c r="H12">
        <v>2.6640000000000001</v>
      </c>
      <c r="I12">
        <v>7</v>
      </c>
      <c r="J12">
        <v>28</v>
      </c>
      <c r="K12">
        <v>4</v>
      </c>
      <c r="L12">
        <v>88.2</v>
      </c>
      <c r="M12">
        <v>202</v>
      </c>
      <c r="N12">
        <v>0.80800000000000005</v>
      </c>
      <c r="O12">
        <v>28</v>
      </c>
      <c r="P12">
        <v>23</v>
      </c>
      <c r="Q12">
        <v>14</v>
      </c>
      <c r="R12">
        <v>11.4</v>
      </c>
      <c r="S12">
        <v>21</v>
      </c>
      <c r="T12">
        <v>4.4000000000000004</v>
      </c>
      <c r="U12">
        <v>6.2</v>
      </c>
      <c r="V12">
        <v>4.8</v>
      </c>
      <c r="W12">
        <v>1.4</v>
      </c>
      <c r="X12">
        <v>3.55</v>
      </c>
      <c r="Y12">
        <v>3700</v>
      </c>
      <c r="Z12">
        <v>0.8</v>
      </c>
      <c r="AA12">
        <v>7.72</v>
      </c>
      <c r="AB12">
        <v>5.32</v>
      </c>
      <c r="AC12">
        <v>11.88</v>
      </c>
      <c r="AD12">
        <v>10.199999999999999</v>
      </c>
      <c r="AE12">
        <v>213</v>
      </c>
      <c r="AF12">
        <v>48</v>
      </c>
      <c r="AG12">
        <v>105.6</v>
      </c>
      <c r="AH12">
        <v>101.6</v>
      </c>
      <c r="AI12">
        <v>468.2</v>
      </c>
    </row>
    <row r="13" spans="1:35" x14ac:dyDescent="0.25">
      <c r="A13">
        <v>2033</v>
      </c>
      <c r="B13" s="2" t="s">
        <v>140</v>
      </c>
      <c r="C13">
        <v>47</v>
      </c>
      <c r="D13">
        <v>0.14155251099999999</v>
      </c>
      <c r="E13">
        <v>58.28</v>
      </c>
      <c r="F13">
        <v>4.2</v>
      </c>
      <c r="G13">
        <v>654</v>
      </c>
      <c r="H13">
        <v>2.6160000000000001</v>
      </c>
      <c r="I13">
        <v>8</v>
      </c>
      <c r="J13">
        <v>32</v>
      </c>
      <c r="K13">
        <v>4</v>
      </c>
      <c r="L13">
        <v>88.3</v>
      </c>
      <c r="M13">
        <v>195.5</v>
      </c>
      <c r="N13">
        <v>0.78200000000000003</v>
      </c>
      <c r="O13">
        <v>29.5</v>
      </c>
      <c r="P13">
        <v>24.5</v>
      </c>
      <c r="Q13">
        <v>16</v>
      </c>
      <c r="R13">
        <v>13.1</v>
      </c>
      <c r="S13">
        <v>24</v>
      </c>
      <c r="T13">
        <v>5.0999999999999996</v>
      </c>
      <c r="U13">
        <v>7.3</v>
      </c>
      <c r="V13">
        <v>5.7</v>
      </c>
      <c r="W13">
        <v>1.6</v>
      </c>
      <c r="X13">
        <v>3.5750000000000002</v>
      </c>
      <c r="Y13">
        <v>3800</v>
      </c>
      <c r="Z13">
        <v>0.8</v>
      </c>
      <c r="AA13">
        <v>7.88</v>
      </c>
      <c r="AB13">
        <v>5.43</v>
      </c>
      <c r="AC13">
        <v>12.02</v>
      </c>
      <c r="AD13">
        <v>10.3</v>
      </c>
      <c r="AE13">
        <v>214.5</v>
      </c>
      <c r="AF13">
        <v>48.5</v>
      </c>
      <c r="AG13">
        <v>106.4</v>
      </c>
      <c r="AH13">
        <v>102.4</v>
      </c>
      <c r="AI13">
        <v>471.8</v>
      </c>
    </row>
    <row r="14" spans="1:35" x14ac:dyDescent="0.25">
      <c r="A14">
        <v>2034</v>
      </c>
      <c r="B14" s="2" t="s">
        <v>140</v>
      </c>
      <c r="C14">
        <v>51</v>
      </c>
      <c r="D14">
        <v>0.14155251099999999</v>
      </c>
      <c r="E14">
        <v>63.24</v>
      </c>
      <c r="F14">
        <v>4.5999999999999996</v>
      </c>
      <c r="G14">
        <v>642</v>
      </c>
      <c r="H14">
        <v>2.5680000000000001</v>
      </c>
      <c r="I14">
        <v>9</v>
      </c>
      <c r="J14">
        <v>36</v>
      </c>
      <c r="K14">
        <v>4</v>
      </c>
      <c r="L14">
        <v>88.4</v>
      </c>
      <c r="M14">
        <v>189</v>
      </c>
      <c r="N14">
        <v>0.75600000000000001</v>
      </c>
      <c r="O14">
        <v>31</v>
      </c>
      <c r="P14">
        <v>26</v>
      </c>
      <c r="Q14">
        <v>18</v>
      </c>
      <c r="R14">
        <v>14.8</v>
      </c>
      <c r="S14">
        <v>27</v>
      </c>
      <c r="T14">
        <v>5.8</v>
      </c>
      <c r="U14">
        <v>8.4</v>
      </c>
      <c r="V14">
        <v>6.6</v>
      </c>
      <c r="W14">
        <v>1.8</v>
      </c>
      <c r="X14">
        <v>3.6</v>
      </c>
      <c r="Y14">
        <v>3900</v>
      </c>
      <c r="Z14">
        <v>0.8</v>
      </c>
      <c r="AA14">
        <v>8.0399999999999991</v>
      </c>
      <c r="AB14">
        <v>5.54</v>
      </c>
      <c r="AC14">
        <v>12.16</v>
      </c>
      <c r="AD14">
        <v>10.4</v>
      </c>
      <c r="AE14">
        <v>216</v>
      </c>
      <c r="AF14">
        <v>49</v>
      </c>
      <c r="AG14">
        <v>107.2</v>
      </c>
      <c r="AH14">
        <v>103.2</v>
      </c>
      <c r="AI14">
        <v>475.4</v>
      </c>
    </row>
    <row r="15" spans="1:35" x14ac:dyDescent="0.25">
      <c r="A15">
        <v>2035</v>
      </c>
      <c r="B15" s="2" t="s">
        <v>140</v>
      </c>
      <c r="C15">
        <v>55</v>
      </c>
      <c r="D15">
        <v>0.14155251099999999</v>
      </c>
      <c r="E15">
        <v>68.2</v>
      </c>
      <c r="F15">
        <v>5</v>
      </c>
      <c r="G15">
        <v>630</v>
      </c>
      <c r="H15">
        <v>2.52</v>
      </c>
      <c r="I15">
        <v>10</v>
      </c>
      <c r="J15">
        <v>40</v>
      </c>
      <c r="K15">
        <v>4</v>
      </c>
      <c r="L15">
        <v>88.5</v>
      </c>
      <c r="M15">
        <v>182.5</v>
      </c>
      <c r="N15">
        <v>0.73</v>
      </c>
      <c r="O15">
        <v>32.5</v>
      </c>
      <c r="P15">
        <v>27.5</v>
      </c>
      <c r="Q15">
        <v>20</v>
      </c>
      <c r="R15">
        <v>16.5</v>
      </c>
      <c r="S15">
        <v>30</v>
      </c>
      <c r="T15">
        <v>6.5</v>
      </c>
      <c r="U15">
        <v>9.5</v>
      </c>
      <c r="V15">
        <v>7.5</v>
      </c>
      <c r="W15">
        <v>2</v>
      </c>
      <c r="X15">
        <v>3.625</v>
      </c>
      <c r="Y15">
        <v>4000</v>
      </c>
      <c r="Z15">
        <v>0.8</v>
      </c>
      <c r="AA15">
        <v>8.1999999999999993</v>
      </c>
      <c r="AB15">
        <v>5.65</v>
      </c>
      <c r="AC15">
        <v>12.3</v>
      </c>
      <c r="AD15">
        <v>10.5</v>
      </c>
      <c r="AE15">
        <v>217.5</v>
      </c>
      <c r="AF15">
        <v>49.5</v>
      </c>
      <c r="AG15">
        <v>108</v>
      </c>
      <c r="AH15">
        <v>104</v>
      </c>
      <c r="AI15">
        <v>479</v>
      </c>
    </row>
    <row r="16" spans="1:35" x14ac:dyDescent="0.25">
      <c r="A16">
        <v>2036</v>
      </c>
      <c r="B16" s="2" t="s">
        <v>140</v>
      </c>
      <c r="C16">
        <v>59</v>
      </c>
      <c r="D16">
        <v>0.14155251099999999</v>
      </c>
      <c r="E16">
        <v>73.16</v>
      </c>
      <c r="F16">
        <v>5.4</v>
      </c>
      <c r="G16">
        <v>618</v>
      </c>
      <c r="H16">
        <v>2.472</v>
      </c>
      <c r="I16">
        <v>11</v>
      </c>
      <c r="J16">
        <v>44</v>
      </c>
      <c r="K16">
        <v>4</v>
      </c>
      <c r="L16">
        <v>88.6</v>
      </c>
      <c r="M16">
        <v>176</v>
      </c>
      <c r="N16">
        <v>0.70399999999999996</v>
      </c>
      <c r="O16">
        <v>34</v>
      </c>
      <c r="P16">
        <v>29</v>
      </c>
      <c r="Q16">
        <v>22</v>
      </c>
      <c r="R16">
        <v>18.2</v>
      </c>
      <c r="S16">
        <v>33</v>
      </c>
      <c r="T16">
        <v>7.2</v>
      </c>
      <c r="U16">
        <v>10.6</v>
      </c>
      <c r="V16">
        <v>8.4</v>
      </c>
      <c r="W16">
        <v>2.2000000000000002</v>
      </c>
      <c r="X16">
        <v>3.65</v>
      </c>
      <c r="Y16">
        <v>4100</v>
      </c>
      <c r="Z16">
        <v>0.8</v>
      </c>
      <c r="AA16">
        <v>8.36</v>
      </c>
      <c r="AB16">
        <v>5.76</v>
      </c>
      <c r="AC16">
        <v>12.44</v>
      </c>
      <c r="AD16">
        <v>10.6</v>
      </c>
      <c r="AE16">
        <v>219</v>
      </c>
      <c r="AF16">
        <v>50</v>
      </c>
      <c r="AG16">
        <v>108.8</v>
      </c>
      <c r="AH16">
        <v>104.8</v>
      </c>
      <c r="AI16">
        <v>482.6</v>
      </c>
    </row>
    <row r="17" spans="1:35" x14ac:dyDescent="0.25">
      <c r="A17">
        <v>2037</v>
      </c>
      <c r="B17" s="2" t="s">
        <v>140</v>
      </c>
      <c r="C17">
        <v>63</v>
      </c>
      <c r="D17">
        <v>0.14155251099999999</v>
      </c>
      <c r="E17">
        <v>78.12</v>
      </c>
      <c r="F17">
        <v>5.8</v>
      </c>
      <c r="G17">
        <v>606</v>
      </c>
      <c r="H17">
        <v>2.4239999999999999</v>
      </c>
      <c r="I17">
        <v>12</v>
      </c>
      <c r="J17">
        <v>48</v>
      </c>
      <c r="K17">
        <v>4</v>
      </c>
      <c r="L17">
        <v>88.7</v>
      </c>
      <c r="M17">
        <v>169.5</v>
      </c>
      <c r="N17">
        <v>0.67800000000000005</v>
      </c>
      <c r="O17">
        <v>35.5</v>
      </c>
      <c r="P17">
        <v>30.5</v>
      </c>
      <c r="Q17">
        <v>24</v>
      </c>
      <c r="R17">
        <v>19.899999999999999</v>
      </c>
      <c r="S17">
        <v>36</v>
      </c>
      <c r="T17">
        <v>7.9</v>
      </c>
      <c r="U17">
        <v>11.7</v>
      </c>
      <c r="V17">
        <v>9.3000000000000007</v>
      </c>
      <c r="W17">
        <v>2.4</v>
      </c>
      <c r="X17">
        <v>3.6749999999999998</v>
      </c>
      <c r="Y17">
        <v>4200</v>
      </c>
      <c r="Z17">
        <v>0.8</v>
      </c>
      <c r="AA17">
        <v>8.52</v>
      </c>
      <c r="AB17">
        <v>5.87</v>
      </c>
      <c r="AC17">
        <v>12.58</v>
      </c>
      <c r="AD17">
        <v>10.7</v>
      </c>
      <c r="AE17">
        <v>220.5</v>
      </c>
      <c r="AF17">
        <v>50.5</v>
      </c>
      <c r="AG17">
        <v>109.6</v>
      </c>
      <c r="AH17">
        <v>105.6</v>
      </c>
      <c r="AI17">
        <v>486.2</v>
      </c>
    </row>
    <row r="18" spans="1:35" x14ac:dyDescent="0.25">
      <c r="A18">
        <v>2038</v>
      </c>
      <c r="B18" s="2" t="s">
        <v>140</v>
      </c>
      <c r="C18">
        <v>67</v>
      </c>
      <c r="D18">
        <v>0.14155251099999999</v>
      </c>
      <c r="E18">
        <v>83.08</v>
      </c>
      <c r="F18">
        <v>6.2</v>
      </c>
      <c r="G18">
        <v>594</v>
      </c>
      <c r="H18">
        <v>2.3759999999999999</v>
      </c>
      <c r="I18">
        <v>13</v>
      </c>
      <c r="J18">
        <v>52</v>
      </c>
      <c r="K18">
        <v>4</v>
      </c>
      <c r="L18">
        <v>88.8</v>
      </c>
      <c r="M18">
        <v>163</v>
      </c>
      <c r="N18">
        <v>0.65200000000000002</v>
      </c>
      <c r="O18">
        <v>37</v>
      </c>
      <c r="P18">
        <v>32</v>
      </c>
      <c r="Q18">
        <v>26</v>
      </c>
      <c r="R18">
        <v>21.6</v>
      </c>
      <c r="S18">
        <v>39</v>
      </c>
      <c r="T18">
        <v>8.6</v>
      </c>
      <c r="U18">
        <v>12.8</v>
      </c>
      <c r="V18">
        <v>10.199999999999999</v>
      </c>
      <c r="W18">
        <v>2.6</v>
      </c>
      <c r="X18">
        <v>3.7</v>
      </c>
      <c r="Y18">
        <v>4300</v>
      </c>
      <c r="Z18">
        <v>0.8</v>
      </c>
      <c r="AA18">
        <v>8.68</v>
      </c>
      <c r="AB18">
        <v>5.98</v>
      </c>
      <c r="AC18">
        <v>12.72</v>
      </c>
      <c r="AD18">
        <v>10.8</v>
      </c>
      <c r="AE18">
        <v>222</v>
      </c>
      <c r="AF18">
        <v>51</v>
      </c>
      <c r="AG18">
        <v>110.4</v>
      </c>
      <c r="AH18">
        <v>106.4</v>
      </c>
      <c r="AI18">
        <v>489.8</v>
      </c>
    </row>
    <row r="19" spans="1:35" x14ac:dyDescent="0.25">
      <c r="A19">
        <v>2039</v>
      </c>
      <c r="B19" s="2" t="s">
        <v>140</v>
      </c>
      <c r="C19">
        <v>71</v>
      </c>
      <c r="D19">
        <v>0.14155251099999999</v>
      </c>
      <c r="E19">
        <v>88.04</v>
      </c>
      <c r="F19">
        <v>6.6</v>
      </c>
      <c r="G19">
        <v>582</v>
      </c>
      <c r="H19">
        <v>2.3279999999999998</v>
      </c>
      <c r="I19">
        <v>14</v>
      </c>
      <c r="J19">
        <v>56</v>
      </c>
      <c r="K19">
        <v>4</v>
      </c>
      <c r="L19">
        <v>88.9</v>
      </c>
      <c r="M19">
        <v>156.5</v>
      </c>
      <c r="N19">
        <v>0.626</v>
      </c>
      <c r="O19">
        <v>38.5</v>
      </c>
      <c r="P19">
        <v>33.5</v>
      </c>
      <c r="Q19">
        <v>28</v>
      </c>
      <c r="R19">
        <v>23.3</v>
      </c>
      <c r="S19">
        <v>42</v>
      </c>
      <c r="T19">
        <v>9.3000000000000007</v>
      </c>
      <c r="U19">
        <v>13.9</v>
      </c>
      <c r="V19">
        <v>11.1</v>
      </c>
      <c r="W19">
        <v>2.8</v>
      </c>
      <c r="X19">
        <v>3.7250000000000001</v>
      </c>
      <c r="Y19">
        <v>4400</v>
      </c>
      <c r="Z19">
        <v>0.8</v>
      </c>
      <c r="AA19">
        <v>8.84</v>
      </c>
      <c r="AB19">
        <v>6.09</v>
      </c>
      <c r="AC19">
        <v>12.86</v>
      </c>
      <c r="AD19">
        <v>10.9</v>
      </c>
      <c r="AE19">
        <v>223.5</v>
      </c>
      <c r="AF19">
        <v>51.5</v>
      </c>
      <c r="AG19">
        <v>111.2</v>
      </c>
      <c r="AH19">
        <v>107.2</v>
      </c>
      <c r="AI19">
        <v>493.4</v>
      </c>
    </row>
    <row r="20" spans="1:35" x14ac:dyDescent="0.25">
      <c r="A20">
        <v>2040</v>
      </c>
      <c r="B20" s="2" t="s">
        <v>140</v>
      </c>
      <c r="C20">
        <v>75</v>
      </c>
      <c r="D20">
        <v>0.14155251099999999</v>
      </c>
      <c r="E20">
        <v>93</v>
      </c>
      <c r="F20">
        <v>7</v>
      </c>
      <c r="G20">
        <v>570</v>
      </c>
      <c r="H20">
        <v>2.2799999999999998</v>
      </c>
      <c r="I20">
        <v>15</v>
      </c>
      <c r="J20">
        <v>60</v>
      </c>
      <c r="K20">
        <v>4</v>
      </c>
      <c r="L20">
        <v>89</v>
      </c>
      <c r="M20">
        <v>150</v>
      </c>
      <c r="N20">
        <v>0.6</v>
      </c>
      <c r="O20">
        <v>40</v>
      </c>
      <c r="P20">
        <v>35</v>
      </c>
      <c r="Q20">
        <v>30</v>
      </c>
      <c r="R20">
        <v>25</v>
      </c>
      <c r="S20">
        <v>45</v>
      </c>
      <c r="T20">
        <v>10</v>
      </c>
      <c r="U20">
        <v>15</v>
      </c>
      <c r="V20">
        <v>12</v>
      </c>
      <c r="W20">
        <v>3</v>
      </c>
      <c r="X20">
        <v>3.75</v>
      </c>
      <c r="Y20">
        <v>4500</v>
      </c>
      <c r="Z20">
        <v>0.8</v>
      </c>
      <c r="AA20">
        <v>9</v>
      </c>
      <c r="AB20">
        <v>6.2</v>
      </c>
      <c r="AC20">
        <v>13</v>
      </c>
      <c r="AD20">
        <v>11</v>
      </c>
      <c r="AE20">
        <v>225</v>
      </c>
      <c r="AF20">
        <v>52</v>
      </c>
      <c r="AG20">
        <v>112</v>
      </c>
      <c r="AH20">
        <v>108</v>
      </c>
      <c r="AI20">
        <v>497</v>
      </c>
    </row>
    <row r="21" spans="1:35" x14ac:dyDescent="0.25">
      <c r="A21">
        <v>2041</v>
      </c>
      <c r="B21" s="2" t="s">
        <v>140</v>
      </c>
      <c r="C21">
        <v>78.5</v>
      </c>
      <c r="D21">
        <v>0.14155251099999999</v>
      </c>
      <c r="E21">
        <v>97.34</v>
      </c>
      <c r="F21">
        <v>7.3</v>
      </c>
      <c r="G21">
        <v>563</v>
      </c>
      <c r="H21">
        <v>1.9704999999999999</v>
      </c>
      <c r="I21">
        <v>16.5</v>
      </c>
      <c r="J21">
        <v>66</v>
      </c>
      <c r="K21">
        <v>4</v>
      </c>
      <c r="L21">
        <v>89.1</v>
      </c>
      <c r="M21">
        <v>147</v>
      </c>
      <c r="N21">
        <v>0.88200000000000001</v>
      </c>
      <c r="O21">
        <v>41</v>
      </c>
      <c r="P21">
        <v>36</v>
      </c>
      <c r="Q21">
        <v>33</v>
      </c>
      <c r="R21">
        <v>28</v>
      </c>
      <c r="S21">
        <v>48.5</v>
      </c>
      <c r="T21">
        <v>12</v>
      </c>
      <c r="U21">
        <v>16.7</v>
      </c>
      <c r="V21">
        <v>13.6</v>
      </c>
      <c r="W21">
        <v>3.3</v>
      </c>
      <c r="X21">
        <v>3.7749999999999999</v>
      </c>
      <c r="Y21">
        <v>4550</v>
      </c>
      <c r="Z21">
        <v>0.78</v>
      </c>
      <c r="AA21">
        <v>9.1</v>
      </c>
      <c r="AB21">
        <v>6.28</v>
      </c>
      <c r="AC21">
        <v>13.1</v>
      </c>
      <c r="AD21">
        <v>11.1</v>
      </c>
      <c r="AE21">
        <v>225.5</v>
      </c>
      <c r="AF21">
        <v>52.3</v>
      </c>
      <c r="AG21">
        <v>112.6</v>
      </c>
      <c r="AH21">
        <v>108.4</v>
      </c>
      <c r="AI21">
        <v>498.8</v>
      </c>
    </row>
    <row r="22" spans="1:35" x14ac:dyDescent="0.25">
      <c r="A22">
        <v>2042</v>
      </c>
      <c r="B22" s="2" t="s">
        <v>140</v>
      </c>
      <c r="C22">
        <v>82</v>
      </c>
      <c r="D22">
        <v>0.14155251099999999</v>
      </c>
      <c r="E22">
        <v>101.68</v>
      </c>
      <c r="F22">
        <v>7.6</v>
      </c>
      <c r="G22">
        <v>556</v>
      </c>
      <c r="H22">
        <v>1.946</v>
      </c>
      <c r="I22">
        <v>18</v>
      </c>
      <c r="J22">
        <v>72</v>
      </c>
      <c r="K22">
        <v>4</v>
      </c>
      <c r="L22">
        <v>89.2</v>
      </c>
      <c r="M22">
        <v>144</v>
      </c>
      <c r="N22">
        <v>0.86399999999999999</v>
      </c>
      <c r="O22">
        <v>42</v>
      </c>
      <c r="P22">
        <v>37</v>
      </c>
      <c r="Q22">
        <v>36</v>
      </c>
      <c r="R22">
        <v>31</v>
      </c>
      <c r="S22">
        <v>52</v>
      </c>
      <c r="T22">
        <v>14</v>
      </c>
      <c r="U22">
        <v>18.399999999999999</v>
      </c>
      <c r="V22">
        <v>15.2</v>
      </c>
      <c r="W22">
        <v>3.6</v>
      </c>
      <c r="X22">
        <v>3.8</v>
      </c>
      <c r="Y22">
        <v>4600</v>
      </c>
      <c r="Z22">
        <v>0.76</v>
      </c>
      <c r="AA22">
        <v>9.1999999999999993</v>
      </c>
      <c r="AB22">
        <v>6.36</v>
      </c>
      <c r="AC22">
        <v>13.2</v>
      </c>
      <c r="AD22">
        <v>11.2</v>
      </c>
      <c r="AE22">
        <v>226</v>
      </c>
      <c r="AF22">
        <v>52.6</v>
      </c>
      <c r="AG22">
        <v>113.2</v>
      </c>
      <c r="AH22">
        <v>108.8</v>
      </c>
      <c r="AI22">
        <v>500.6</v>
      </c>
    </row>
    <row r="23" spans="1:35" x14ac:dyDescent="0.25">
      <c r="A23">
        <v>2043</v>
      </c>
      <c r="B23" s="2" t="s">
        <v>140</v>
      </c>
      <c r="C23">
        <v>85.5</v>
      </c>
      <c r="D23">
        <v>0.14155251099999999</v>
      </c>
      <c r="E23">
        <v>106.02</v>
      </c>
      <c r="F23">
        <v>7.9</v>
      </c>
      <c r="G23">
        <v>549</v>
      </c>
      <c r="H23">
        <v>1.9215</v>
      </c>
      <c r="I23">
        <v>19.5</v>
      </c>
      <c r="J23">
        <v>78</v>
      </c>
      <c r="K23">
        <v>4</v>
      </c>
      <c r="L23">
        <v>89.3</v>
      </c>
      <c r="M23">
        <v>141</v>
      </c>
      <c r="N23">
        <v>0.84599999999999997</v>
      </c>
      <c r="O23">
        <v>43</v>
      </c>
      <c r="P23">
        <v>38</v>
      </c>
      <c r="Q23">
        <v>39</v>
      </c>
      <c r="R23">
        <v>34</v>
      </c>
      <c r="S23">
        <v>55.5</v>
      </c>
      <c r="T23">
        <v>16</v>
      </c>
      <c r="U23">
        <v>20.100000000000001</v>
      </c>
      <c r="V23">
        <v>16.8</v>
      </c>
      <c r="W23">
        <v>3.9</v>
      </c>
      <c r="X23">
        <v>3.8250000000000002</v>
      </c>
      <c r="Y23">
        <v>4650</v>
      </c>
      <c r="Z23">
        <v>0.74</v>
      </c>
      <c r="AA23">
        <v>9.3000000000000007</v>
      </c>
      <c r="AB23">
        <v>6.44</v>
      </c>
      <c r="AC23">
        <v>13.3</v>
      </c>
      <c r="AD23">
        <v>11.3</v>
      </c>
      <c r="AE23">
        <v>226.5</v>
      </c>
      <c r="AF23">
        <v>52.9</v>
      </c>
      <c r="AG23">
        <v>113.8</v>
      </c>
      <c r="AH23">
        <v>109.2</v>
      </c>
      <c r="AI23">
        <v>502.4</v>
      </c>
    </row>
    <row r="24" spans="1:35" x14ac:dyDescent="0.25">
      <c r="A24">
        <v>2044</v>
      </c>
      <c r="B24" s="2" t="s">
        <v>140</v>
      </c>
      <c r="C24">
        <v>89</v>
      </c>
      <c r="D24">
        <v>0.14155251099999999</v>
      </c>
      <c r="E24">
        <v>110.36</v>
      </c>
      <c r="F24">
        <v>8.1999999999999993</v>
      </c>
      <c r="G24">
        <v>542</v>
      </c>
      <c r="H24">
        <v>1.897</v>
      </c>
      <c r="I24">
        <v>21</v>
      </c>
      <c r="J24">
        <v>84</v>
      </c>
      <c r="K24">
        <v>4</v>
      </c>
      <c r="L24">
        <v>89.4</v>
      </c>
      <c r="M24">
        <v>138</v>
      </c>
      <c r="N24">
        <v>0.82799999999999996</v>
      </c>
      <c r="O24">
        <v>44</v>
      </c>
      <c r="P24">
        <v>39</v>
      </c>
      <c r="Q24">
        <v>42</v>
      </c>
      <c r="R24">
        <v>37</v>
      </c>
      <c r="S24">
        <v>59</v>
      </c>
      <c r="T24">
        <v>18</v>
      </c>
      <c r="U24">
        <v>21.8</v>
      </c>
      <c r="V24">
        <v>18.399999999999999</v>
      </c>
      <c r="W24">
        <v>4.2</v>
      </c>
      <c r="X24">
        <v>3.85</v>
      </c>
      <c r="Y24">
        <v>4700</v>
      </c>
      <c r="Z24">
        <v>0.72</v>
      </c>
      <c r="AA24">
        <v>9.4</v>
      </c>
      <c r="AB24">
        <v>6.52</v>
      </c>
      <c r="AC24">
        <v>13.4</v>
      </c>
      <c r="AD24">
        <v>11.4</v>
      </c>
      <c r="AE24">
        <v>227</v>
      </c>
      <c r="AF24">
        <v>53.2</v>
      </c>
      <c r="AG24">
        <v>114.4</v>
      </c>
      <c r="AH24">
        <v>109.6</v>
      </c>
      <c r="AI24">
        <v>504.2</v>
      </c>
    </row>
    <row r="25" spans="1:35" x14ac:dyDescent="0.25">
      <c r="A25">
        <v>2045</v>
      </c>
      <c r="B25" s="2" t="s">
        <v>140</v>
      </c>
      <c r="C25">
        <v>92.5</v>
      </c>
      <c r="D25">
        <v>0.14155251099999999</v>
      </c>
      <c r="E25">
        <v>114.7</v>
      </c>
      <c r="F25">
        <v>8.5</v>
      </c>
      <c r="G25">
        <v>535</v>
      </c>
      <c r="H25">
        <v>1.8725000000000001</v>
      </c>
      <c r="I25">
        <v>22.5</v>
      </c>
      <c r="J25">
        <v>90</v>
      </c>
      <c r="K25">
        <v>4</v>
      </c>
      <c r="L25">
        <v>89.5</v>
      </c>
      <c r="M25">
        <v>135</v>
      </c>
      <c r="N25">
        <v>0.81</v>
      </c>
      <c r="O25">
        <v>45</v>
      </c>
      <c r="P25">
        <v>40</v>
      </c>
      <c r="Q25">
        <v>45</v>
      </c>
      <c r="R25">
        <v>40</v>
      </c>
      <c r="S25">
        <v>62.5</v>
      </c>
      <c r="T25">
        <v>20</v>
      </c>
      <c r="U25">
        <v>23.5</v>
      </c>
      <c r="V25">
        <v>20</v>
      </c>
      <c r="W25">
        <v>4.5</v>
      </c>
      <c r="X25">
        <v>3.875</v>
      </c>
      <c r="Y25">
        <v>4750</v>
      </c>
      <c r="Z25">
        <v>0.7</v>
      </c>
      <c r="AA25">
        <v>9.5</v>
      </c>
      <c r="AB25">
        <v>6.6</v>
      </c>
      <c r="AC25">
        <v>13.5</v>
      </c>
      <c r="AD25">
        <v>11.5</v>
      </c>
      <c r="AE25">
        <v>227.5</v>
      </c>
      <c r="AF25">
        <v>53.5</v>
      </c>
      <c r="AG25">
        <v>115</v>
      </c>
      <c r="AH25">
        <v>110</v>
      </c>
      <c r="AI25">
        <v>506</v>
      </c>
    </row>
    <row r="26" spans="1:35" x14ac:dyDescent="0.25">
      <c r="A26">
        <v>2046</v>
      </c>
      <c r="B26" s="2" t="s">
        <v>140</v>
      </c>
      <c r="C26">
        <v>96</v>
      </c>
      <c r="D26">
        <v>0.14155251099999999</v>
      </c>
      <c r="E26">
        <v>119.04</v>
      </c>
      <c r="F26">
        <v>8.8000000000000007</v>
      </c>
      <c r="G26">
        <v>528</v>
      </c>
      <c r="H26">
        <v>1.8480000000000001</v>
      </c>
      <c r="I26">
        <v>24</v>
      </c>
      <c r="J26">
        <v>96</v>
      </c>
      <c r="K26">
        <v>4</v>
      </c>
      <c r="L26">
        <v>89.6</v>
      </c>
      <c r="M26">
        <v>132</v>
      </c>
      <c r="N26">
        <v>0.79200000000000004</v>
      </c>
      <c r="O26">
        <v>46</v>
      </c>
      <c r="P26">
        <v>41</v>
      </c>
      <c r="Q26">
        <v>48</v>
      </c>
      <c r="R26">
        <v>43</v>
      </c>
      <c r="S26">
        <v>66</v>
      </c>
      <c r="T26">
        <v>22</v>
      </c>
      <c r="U26">
        <v>25.2</v>
      </c>
      <c r="V26">
        <v>21.6</v>
      </c>
      <c r="W26">
        <v>4.8</v>
      </c>
      <c r="X26">
        <v>3.9</v>
      </c>
      <c r="Y26">
        <v>4800</v>
      </c>
      <c r="Z26">
        <v>0.68</v>
      </c>
      <c r="AA26">
        <v>9.6</v>
      </c>
      <c r="AB26">
        <v>6.68</v>
      </c>
      <c r="AC26">
        <v>13.6</v>
      </c>
      <c r="AD26">
        <v>11.6</v>
      </c>
      <c r="AE26">
        <v>228</v>
      </c>
      <c r="AF26">
        <v>53.8</v>
      </c>
      <c r="AG26">
        <v>115.6</v>
      </c>
      <c r="AH26">
        <v>110.4</v>
      </c>
      <c r="AI26">
        <v>507.8</v>
      </c>
    </row>
    <row r="27" spans="1:35" x14ac:dyDescent="0.25">
      <c r="A27">
        <v>2047</v>
      </c>
      <c r="B27" s="2" t="s">
        <v>140</v>
      </c>
      <c r="C27">
        <v>99.5</v>
      </c>
      <c r="D27">
        <v>0.14155251099999999</v>
      </c>
      <c r="E27">
        <v>123.38</v>
      </c>
      <c r="F27">
        <v>9.1</v>
      </c>
      <c r="G27">
        <v>521</v>
      </c>
      <c r="H27">
        <v>1.8234999999999999</v>
      </c>
      <c r="I27">
        <v>25.5</v>
      </c>
      <c r="J27">
        <v>102</v>
      </c>
      <c r="K27">
        <v>4</v>
      </c>
      <c r="L27">
        <v>89.7</v>
      </c>
      <c r="M27">
        <v>129</v>
      </c>
      <c r="N27">
        <v>0.77400000000000002</v>
      </c>
      <c r="O27">
        <v>47</v>
      </c>
      <c r="P27">
        <v>42</v>
      </c>
      <c r="Q27">
        <v>51</v>
      </c>
      <c r="R27">
        <v>46</v>
      </c>
      <c r="S27">
        <v>69.5</v>
      </c>
      <c r="T27">
        <v>24</v>
      </c>
      <c r="U27">
        <v>26.9</v>
      </c>
      <c r="V27">
        <v>23.2</v>
      </c>
      <c r="W27">
        <v>5.0999999999999996</v>
      </c>
      <c r="X27">
        <v>3.9249999999999998</v>
      </c>
      <c r="Y27">
        <v>4850</v>
      </c>
      <c r="Z27">
        <v>0.66</v>
      </c>
      <c r="AA27">
        <v>9.6999999999999993</v>
      </c>
      <c r="AB27">
        <v>6.76</v>
      </c>
      <c r="AC27">
        <v>13.7</v>
      </c>
      <c r="AD27">
        <v>11.7</v>
      </c>
      <c r="AE27">
        <v>228.5</v>
      </c>
      <c r="AF27">
        <v>54.1</v>
      </c>
      <c r="AG27">
        <v>116.2</v>
      </c>
      <c r="AH27">
        <v>110.8</v>
      </c>
      <c r="AI27">
        <v>509.6</v>
      </c>
    </row>
    <row r="28" spans="1:35" x14ac:dyDescent="0.25">
      <c r="A28">
        <v>2048</v>
      </c>
      <c r="B28" s="2" t="s">
        <v>140</v>
      </c>
      <c r="C28">
        <v>103</v>
      </c>
      <c r="D28">
        <v>0.14155251099999999</v>
      </c>
      <c r="E28">
        <v>127.72</v>
      </c>
      <c r="F28">
        <v>9.4</v>
      </c>
      <c r="G28">
        <v>514</v>
      </c>
      <c r="H28">
        <v>1.7989999999999999</v>
      </c>
      <c r="I28">
        <v>27</v>
      </c>
      <c r="J28">
        <v>108</v>
      </c>
      <c r="K28">
        <v>4</v>
      </c>
      <c r="L28">
        <v>89.8</v>
      </c>
      <c r="M28">
        <v>126</v>
      </c>
      <c r="N28">
        <v>0.75600000000000001</v>
      </c>
      <c r="O28">
        <v>48</v>
      </c>
      <c r="P28">
        <v>43</v>
      </c>
      <c r="Q28">
        <v>54</v>
      </c>
      <c r="R28">
        <v>49</v>
      </c>
      <c r="S28">
        <v>73</v>
      </c>
      <c r="T28">
        <v>26</v>
      </c>
      <c r="U28">
        <v>28.6</v>
      </c>
      <c r="V28">
        <v>24.8</v>
      </c>
      <c r="W28">
        <v>5.4</v>
      </c>
      <c r="X28">
        <v>3.95</v>
      </c>
      <c r="Y28">
        <v>4900</v>
      </c>
      <c r="Z28">
        <v>0.64</v>
      </c>
      <c r="AA28">
        <v>9.8000000000000007</v>
      </c>
      <c r="AB28">
        <v>6.84</v>
      </c>
      <c r="AC28">
        <v>13.8</v>
      </c>
      <c r="AD28">
        <v>11.8</v>
      </c>
      <c r="AE28">
        <v>229</v>
      </c>
      <c r="AF28">
        <v>54.4</v>
      </c>
      <c r="AG28">
        <v>116.8</v>
      </c>
      <c r="AH28">
        <v>111.2</v>
      </c>
      <c r="AI28">
        <v>511.4</v>
      </c>
    </row>
    <row r="29" spans="1:35" x14ac:dyDescent="0.25">
      <c r="A29">
        <v>2049</v>
      </c>
      <c r="B29" s="2" t="s">
        <v>140</v>
      </c>
      <c r="C29">
        <v>106.5</v>
      </c>
      <c r="D29">
        <v>0.14155251099999999</v>
      </c>
      <c r="E29">
        <v>132.06</v>
      </c>
      <c r="F29">
        <v>9.6999999999999993</v>
      </c>
      <c r="G29">
        <v>507</v>
      </c>
      <c r="H29">
        <v>1.7745</v>
      </c>
      <c r="I29">
        <v>28.5</v>
      </c>
      <c r="J29">
        <v>114</v>
      </c>
      <c r="K29">
        <v>4</v>
      </c>
      <c r="L29">
        <v>89.9</v>
      </c>
      <c r="M29">
        <v>123</v>
      </c>
      <c r="N29">
        <v>0.73799999999999999</v>
      </c>
      <c r="O29">
        <v>49</v>
      </c>
      <c r="P29">
        <v>44</v>
      </c>
      <c r="Q29">
        <v>57</v>
      </c>
      <c r="R29">
        <v>52</v>
      </c>
      <c r="S29">
        <v>76.5</v>
      </c>
      <c r="T29">
        <v>28</v>
      </c>
      <c r="U29">
        <v>30.3</v>
      </c>
      <c r="V29">
        <v>26.4</v>
      </c>
      <c r="W29">
        <v>5.7</v>
      </c>
      <c r="X29">
        <v>3.9750000000000001</v>
      </c>
      <c r="Y29">
        <v>4950</v>
      </c>
      <c r="Z29">
        <v>0.62</v>
      </c>
      <c r="AA29">
        <v>9.9</v>
      </c>
      <c r="AB29">
        <v>6.92</v>
      </c>
      <c r="AC29">
        <v>13.9</v>
      </c>
      <c r="AD29">
        <v>11.9</v>
      </c>
      <c r="AE29">
        <v>229.5</v>
      </c>
      <c r="AF29">
        <v>54.7</v>
      </c>
      <c r="AG29">
        <v>117.4</v>
      </c>
      <c r="AH29">
        <v>111.6</v>
      </c>
      <c r="AI29">
        <v>513.20000000000005</v>
      </c>
    </row>
    <row r="30" spans="1:35" x14ac:dyDescent="0.25">
      <c r="A30">
        <v>2050</v>
      </c>
      <c r="B30" s="2" t="s">
        <v>140</v>
      </c>
      <c r="C30">
        <v>110</v>
      </c>
      <c r="D30">
        <v>0.14155251099999999</v>
      </c>
      <c r="E30">
        <v>136.4</v>
      </c>
      <c r="F30">
        <v>10</v>
      </c>
      <c r="G30">
        <v>500</v>
      </c>
      <c r="H30">
        <v>1.75</v>
      </c>
      <c r="I30">
        <v>30</v>
      </c>
      <c r="J30">
        <v>120</v>
      </c>
      <c r="K30">
        <v>4</v>
      </c>
      <c r="L30">
        <v>90</v>
      </c>
      <c r="M30">
        <v>120</v>
      </c>
      <c r="N30">
        <v>0.72</v>
      </c>
      <c r="O30">
        <v>50</v>
      </c>
      <c r="P30">
        <v>45</v>
      </c>
      <c r="Q30">
        <v>60</v>
      </c>
      <c r="R30">
        <v>55</v>
      </c>
      <c r="S30">
        <v>80</v>
      </c>
      <c r="T30">
        <v>30</v>
      </c>
      <c r="U30">
        <v>32</v>
      </c>
      <c r="V30">
        <v>28</v>
      </c>
      <c r="W30">
        <v>6</v>
      </c>
      <c r="X30">
        <v>4</v>
      </c>
      <c r="Y30">
        <v>5000</v>
      </c>
      <c r="Z30">
        <v>0.6</v>
      </c>
      <c r="AA30">
        <v>10</v>
      </c>
      <c r="AB30">
        <v>7</v>
      </c>
      <c r="AC30">
        <v>14</v>
      </c>
      <c r="AD30">
        <v>12</v>
      </c>
      <c r="AE30">
        <v>230</v>
      </c>
      <c r="AF30">
        <v>55</v>
      </c>
      <c r="AG30">
        <v>118</v>
      </c>
      <c r="AH30">
        <v>112</v>
      </c>
      <c r="AI30">
        <v>515</v>
      </c>
    </row>
  </sheetData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0"/>
  <sheetViews>
    <sheetView tabSelected="1" workbookViewId="0">
      <pane ySplit="5" topLeftCell="A6" activePane="bottomLeft" state="frozen"/>
      <selection pane="bottomLeft" activeCell="E42" sqref="E42"/>
    </sheetView>
  </sheetViews>
  <sheetFormatPr defaultRowHeight="15" x14ac:dyDescent="0.25"/>
  <cols>
    <col min="1" max="2" width="18" customWidth="1"/>
    <col min="3" max="3" width="32" customWidth="1"/>
    <col min="4" max="4" width="22.42578125" customWidth="1"/>
    <col min="5" max="5" width="28" customWidth="1"/>
    <col min="6" max="6" width="27" customWidth="1"/>
    <col min="7" max="7" width="29" customWidth="1"/>
    <col min="8" max="12" width="18" customWidth="1"/>
  </cols>
  <sheetData>
    <row r="1" spans="1:11" x14ac:dyDescent="0.25">
      <c r="A1" s="7" t="s">
        <v>0</v>
      </c>
      <c r="B1" t="s">
        <v>63</v>
      </c>
    </row>
    <row r="2" spans="1:11" x14ac:dyDescent="0.25">
      <c r="A2" s="7" t="s">
        <v>2</v>
      </c>
      <c r="B2" t="s">
        <v>141</v>
      </c>
    </row>
    <row r="3" spans="1:11" x14ac:dyDescent="0.25">
      <c r="A3" s="7" t="s">
        <v>142</v>
      </c>
      <c r="B3" t="s">
        <v>143</v>
      </c>
    </row>
    <row r="5" spans="1:11" ht="45.75" customHeight="1" x14ac:dyDescent="0.25">
      <c r="A5" s="6" t="s">
        <v>6</v>
      </c>
      <c r="B5" s="6" t="s">
        <v>7</v>
      </c>
      <c r="C5" s="6" t="s">
        <v>32</v>
      </c>
      <c r="D5" s="6" t="s">
        <v>33</v>
      </c>
      <c r="E5" s="6" t="s">
        <v>34</v>
      </c>
      <c r="F5" s="6" t="s">
        <v>35</v>
      </c>
      <c r="G5" s="6" t="s">
        <v>36</v>
      </c>
      <c r="H5" s="6" t="s">
        <v>37</v>
      </c>
      <c r="I5" s="6" t="s">
        <v>38</v>
      </c>
      <c r="J5" s="6" t="s">
        <v>39</v>
      </c>
      <c r="K5" s="6" t="s">
        <v>40</v>
      </c>
    </row>
    <row r="6" spans="1:11" x14ac:dyDescent="0.25">
      <c r="A6">
        <v>2026</v>
      </c>
      <c r="B6" t="s">
        <v>141</v>
      </c>
      <c r="C6">
        <v>1</v>
      </c>
      <c r="D6">
        <v>0.8</v>
      </c>
      <c r="E6">
        <v>1.2</v>
      </c>
      <c r="F6">
        <v>0.8</v>
      </c>
      <c r="G6">
        <v>120</v>
      </c>
      <c r="H6">
        <v>25</v>
      </c>
      <c r="I6">
        <v>50</v>
      </c>
      <c r="J6">
        <v>30</v>
      </c>
      <c r="K6">
        <v>225</v>
      </c>
    </row>
    <row r="7" spans="1:11" x14ac:dyDescent="0.25">
      <c r="A7">
        <v>2027</v>
      </c>
      <c r="B7" t="s">
        <v>141</v>
      </c>
      <c r="C7">
        <v>1.5</v>
      </c>
      <c r="D7">
        <v>1.1000000000000001</v>
      </c>
      <c r="E7">
        <v>1.7749999999999999</v>
      </c>
      <c r="F7">
        <v>1.2250000000000001</v>
      </c>
      <c r="G7">
        <v>130</v>
      </c>
      <c r="H7">
        <v>27.5</v>
      </c>
      <c r="I7">
        <v>56.25</v>
      </c>
      <c r="J7">
        <v>35</v>
      </c>
      <c r="K7">
        <v>248.75</v>
      </c>
    </row>
    <row r="8" spans="1:11" x14ac:dyDescent="0.25">
      <c r="A8">
        <v>2028</v>
      </c>
      <c r="B8" t="s">
        <v>141</v>
      </c>
      <c r="C8">
        <v>2</v>
      </c>
      <c r="D8">
        <v>1.4</v>
      </c>
      <c r="E8">
        <v>2.35</v>
      </c>
      <c r="F8">
        <v>1.65</v>
      </c>
      <c r="G8">
        <v>140</v>
      </c>
      <c r="H8">
        <v>30</v>
      </c>
      <c r="I8">
        <v>62.5</v>
      </c>
      <c r="J8">
        <v>40</v>
      </c>
      <c r="K8">
        <v>272.5</v>
      </c>
    </row>
    <row r="9" spans="1:11" x14ac:dyDescent="0.25">
      <c r="A9">
        <v>2029</v>
      </c>
      <c r="B9" t="s">
        <v>141</v>
      </c>
      <c r="C9">
        <v>2.5</v>
      </c>
      <c r="D9">
        <v>1.7</v>
      </c>
      <c r="E9">
        <v>2.9249999999999998</v>
      </c>
      <c r="F9">
        <v>2.0750000000000002</v>
      </c>
      <c r="G9">
        <v>150</v>
      </c>
      <c r="H9">
        <v>32.5</v>
      </c>
      <c r="I9">
        <v>68.75</v>
      </c>
      <c r="J9">
        <v>45</v>
      </c>
      <c r="K9">
        <v>296.25</v>
      </c>
    </row>
    <row r="10" spans="1:11" x14ac:dyDescent="0.25">
      <c r="A10">
        <v>2030</v>
      </c>
      <c r="B10" t="s">
        <v>141</v>
      </c>
      <c r="C10">
        <v>3</v>
      </c>
      <c r="D10">
        <v>2</v>
      </c>
      <c r="E10">
        <v>3.5</v>
      </c>
      <c r="F10">
        <v>2.5</v>
      </c>
      <c r="G10">
        <v>160</v>
      </c>
      <c r="H10">
        <v>35</v>
      </c>
      <c r="I10">
        <v>75</v>
      </c>
      <c r="J10">
        <v>50</v>
      </c>
      <c r="K10">
        <v>320</v>
      </c>
    </row>
    <row r="11" spans="1:11" x14ac:dyDescent="0.25">
      <c r="A11">
        <v>2031</v>
      </c>
      <c r="B11" t="s">
        <v>141</v>
      </c>
      <c r="C11">
        <v>3.1</v>
      </c>
      <c r="D11">
        <v>2.08</v>
      </c>
      <c r="E11">
        <v>3.65</v>
      </c>
      <c r="F11">
        <v>2.6</v>
      </c>
      <c r="G11">
        <v>162</v>
      </c>
      <c r="H11">
        <v>35.5</v>
      </c>
      <c r="I11">
        <v>76</v>
      </c>
      <c r="J11">
        <v>51</v>
      </c>
      <c r="K11">
        <v>324.5</v>
      </c>
    </row>
    <row r="12" spans="1:11" x14ac:dyDescent="0.25">
      <c r="A12">
        <v>2032</v>
      </c>
      <c r="B12" t="s">
        <v>141</v>
      </c>
      <c r="C12">
        <v>3.2</v>
      </c>
      <c r="D12">
        <v>2.16</v>
      </c>
      <c r="E12">
        <v>3.8</v>
      </c>
      <c r="F12">
        <v>2.7</v>
      </c>
      <c r="G12">
        <v>164</v>
      </c>
      <c r="H12">
        <v>36</v>
      </c>
      <c r="I12">
        <v>77</v>
      </c>
      <c r="J12">
        <v>52</v>
      </c>
      <c r="K12">
        <v>329</v>
      </c>
    </row>
    <row r="13" spans="1:11" x14ac:dyDescent="0.25">
      <c r="A13">
        <v>2033</v>
      </c>
      <c r="B13" t="s">
        <v>141</v>
      </c>
      <c r="C13">
        <v>3.3</v>
      </c>
      <c r="D13">
        <v>2.2400000000000002</v>
      </c>
      <c r="E13">
        <v>3.95</v>
      </c>
      <c r="F13">
        <v>2.8</v>
      </c>
      <c r="G13">
        <v>166</v>
      </c>
      <c r="H13">
        <v>36.5</v>
      </c>
      <c r="I13">
        <v>78</v>
      </c>
      <c r="J13">
        <v>53</v>
      </c>
      <c r="K13">
        <v>333.5</v>
      </c>
    </row>
    <row r="14" spans="1:11" x14ac:dyDescent="0.25">
      <c r="A14">
        <v>2034</v>
      </c>
      <c r="B14" t="s">
        <v>141</v>
      </c>
      <c r="C14">
        <v>3.4</v>
      </c>
      <c r="D14">
        <v>2.3199999999999998</v>
      </c>
      <c r="E14">
        <v>4.0999999999999996</v>
      </c>
      <c r="F14">
        <v>2.9</v>
      </c>
      <c r="G14">
        <v>168</v>
      </c>
      <c r="H14">
        <v>37</v>
      </c>
      <c r="I14">
        <v>79</v>
      </c>
      <c r="J14">
        <v>54</v>
      </c>
      <c r="K14">
        <v>338</v>
      </c>
    </row>
    <row r="15" spans="1:11" x14ac:dyDescent="0.25">
      <c r="A15">
        <v>2035</v>
      </c>
      <c r="B15" t="s">
        <v>141</v>
      </c>
      <c r="C15">
        <v>3.5</v>
      </c>
      <c r="D15">
        <v>2.4</v>
      </c>
      <c r="E15">
        <v>4.25</v>
      </c>
      <c r="F15">
        <v>3</v>
      </c>
      <c r="G15">
        <v>170</v>
      </c>
      <c r="H15">
        <v>37.5</v>
      </c>
      <c r="I15">
        <v>80</v>
      </c>
      <c r="J15">
        <v>55</v>
      </c>
      <c r="K15">
        <v>342.5</v>
      </c>
    </row>
    <row r="16" spans="1:11" x14ac:dyDescent="0.25">
      <c r="A16">
        <v>2036</v>
      </c>
      <c r="B16" t="s">
        <v>141</v>
      </c>
      <c r="C16">
        <v>3.6</v>
      </c>
      <c r="D16">
        <v>2.48</v>
      </c>
      <c r="E16">
        <v>4.4000000000000004</v>
      </c>
      <c r="F16">
        <v>3.1</v>
      </c>
      <c r="G16">
        <v>172</v>
      </c>
      <c r="H16">
        <v>38</v>
      </c>
      <c r="I16">
        <v>81</v>
      </c>
      <c r="J16">
        <v>56</v>
      </c>
      <c r="K16">
        <v>347</v>
      </c>
    </row>
    <row r="17" spans="1:11" x14ac:dyDescent="0.25">
      <c r="A17">
        <v>2037</v>
      </c>
      <c r="B17" t="s">
        <v>141</v>
      </c>
      <c r="C17">
        <v>3.7</v>
      </c>
      <c r="D17">
        <v>2.56</v>
      </c>
      <c r="E17">
        <v>4.55</v>
      </c>
      <c r="F17">
        <v>3.2</v>
      </c>
      <c r="G17">
        <v>174</v>
      </c>
      <c r="H17">
        <v>38.5</v>
      </c>
      <c r="I17">
        <v>82</v>
      </c>
      <c r="J17">
        <v>57</v>
      </c>
      <c r="K17">
        <v>351.5</v>
      </c>
    </row>
    <row r="18" spans="1:11" x14ac:dyDescent="0.25">
      <c r="A18">
        <v>2038</v>
      </c>
      <c r="B18" t="s">
        <v>141</v>
      </c>
      <c r="C18">
        <v>3.8</v>
      </c>
      <c r="D18">
        <v>2.64</v>
      </c>
      <c r="E18">
        <v>4.7</v>
      </c>
      <c r="F18">
        <v>3.3</v>
      </c>
      <c r="G18">
        <v>176</v>
      </c>
      <c r="H18">
        <v>39</v>
      </c>
      <c r="I18">
        <v>83</v>
      </c>
      <c r="J18">
        <v>58</v>
      </c>
      <c r="K18">
        <v>356</v>
      </c>
    </row>
    <row r="19" spans="1:11" x14ac:dyDescent="0.25">
      <c r="A19">
        <v>2039</v>
      </c>
      <c r="B19" t="s">
        <v>141</v>
      </c>
      <c r="C19">
        <v>3.9</v>
      </c>
      <c r="D19">
        <v>2.72</v>
      </c>
      <c r="E19">
        <v>4.8499999999999996</v>
      </c>
      <c r="F19">
        <v>3.4</v>
      </c>
      <c r="G19">
        <v>178</v>
      </c>
      <c r="H19">
        <v>39.5</v>
      </c>
      <c r="I19">
        <v>84</v>
      </c>
      <c r="J19">
        <v>59</v>
      </c>
      <c r="K19">
        <v>360.5</v>
      </c>
    </row>
    <row r="20" spans="1:11" x14ac:dyDescent="0.25">
      <c r="A20">
        <v>2040</v>
      </c>
      <c r="B20" t="s">
        <v>141</v>
      </c>
      <c r="C20">
        <v>4</v>
      </c>
      <c r="D20">
        <v>2.8</v>
      </c>
      <c r="E20">
        <v>5</v>
      </c>
      <c r="F20">
        <v>3.5</v>
      </c>
      <c r="G20">
        <v>180</v>
      </c>
      <c r="H20">
        <v>40</v>
      </c>
      <c r="I20">
        <v>85</v>
      </c>
      <c r="J20">
        <v>60</v>
      </c>
      <c r="K20">
        <v>365</v>
      </c>
    </row>
    <row r="21" spans="1:11" x14ac:dyDescent="0.25">
      <c r="A21">
        <v>2041</v>
      </c>
      <c r="B21" t="s">
        <v>141</v>
      </c>
      <c r="C21">
        <v>4.05</v>
      </c>
      <c r="D21">
        <v>2.84</v>
      </c>
      <c r="E21">
        <v>5.0999999999999996</v>
      </c>
      <c r="F21">
        <v>3.55</v>
      </c>
      <c r="G21">
        <v>180</v>
      </c>
      <c r="H21">
        <v>40.200000000000003</v>
      </c>
      <c r="I21">
        <v>85.5</v>
      </c>
      <c r="J21">
        <v>60.5</v>
      </c>
      <c r="K21">
        <v>366.2</v>
      </c>
    </row>
    <row r="22" spans="1:11" x14ac:dyDescent="0.25">
      <c r="A22">
        <v>2042</v>
      </c>
      <c r="B22" t="s">
        <v>141</v>
      </c>
      <c r="C22">
        <v>4.0999999999999996</v>
      </c>
      <c r="D22">
        <v>2.88</v>
      </c>
      <c r="E22">
        <v>5.2</v>
      </c>
      <c r="F22">
        <v>3.6</v>
      </c>
      <c r="G22">
        <v>180</v>
      </c>
      <c r="H22">
        <v>40.4</v>
      </c>
      <c r="I22">
        <v>86</v>
      </c>
      <c r="J22">
        <v>61</v>
      </c>
      <c r="K22">
        <v>367.4</v>
      </c>
    </row>
    <row r="23" spans="1:11" x14ac:dyDescent="0.25">
      <c r="A23">
        <v>2043</v>
      </c>
      <c r="B23" t="s">
        <v>141</v>
      </c>
      <c r="C23">
        <v>4.1500000000000004</v>
      </c>
      <c r="D23">
        <v>2.92</v>
      </c>
      <c r="E23">
        <v>5.3</v>
      </c>
      <c r="F23">
        <v>3.65</v>
      </c>
      <c r="G23">
        <v>180</v>
      </c>
      <c r="H23">
        <v>40.6</v>
      </c>
      <c r="I23">
        <v>86.5</v>
      </c>
      <c r="J23">
        <v>61.5</v>
      </c>
      <c r="K23">
        <v>368.6</v>
      </c>
    </row>
    <row r="24" spans="1:11" x14ac:dyDescent="0.25">
      <c r="A24">
        <v>2044</v>
      </c>
      <c r="B24" t="s">
        <v>141</v>
      </c>
      <c r="C24">
        <v>4.2</v>
      </c>
      <c r="D24">
        <v>2.96</v>
      </c>
      <c r="E24">
        <v>5.4</v>
      </c>
      <c r="F24">
        <v>3.7</v>
      </c>
      <c r="G24">
        <v>180</v>
      </c>
      <c r="H24">
        <v>40.799999999999997</v>
      </c>
      <c r="I24">
        <v>87</v>
      </c>
      <c r="J24">
        <v>62</v>
      </c>
      <c r="K24">
        <v>369.8</v>
      </c>
    </row>
    <row r="25" spans="1:11" x14ac:dyDescent="0.25">
      <c r="A25">
        <v>2045</v>
      </c>
      <c r="B25" t="s">
        <v>141</v>
      </c>
      <c r="C25">
        <v>4.25</v>
      </c>
      <c r="D25">
        <v>3</v>
      </c>
      <c r="E25">
        <v>5.5</v>
      </c>
      <c r="F25">
        <v>3.75</v>
      </c>
      <c r="G25">
        <v>180</v>
      </c>
      <c r="H25">
        <v>41</v>
      </c>
      <c r="I25">
        <v>87.5</v>
      </c>
      <c r="J25">
        <v>62.5</v>
      </c>
      <c r="K25">
        <v>371</v>
      </c>
    </row>
    <row r="26" spans="1:11" x14ac:dyDescent="0.25">
      <c r="A26">
        <v>2046</v>
      </c>
      <c r="B26" t="s">
        <v>141</v>
      </c>
      <c r="C26">
        <v>4.3</v>
      </c>
      <c r="D26">
        <v>3.04</v>
      </c>
      <c r="E26">
        <v>5.6</v>
      </c>
      <c r="F26">
        <v>3.8</v>
      </c>
      <c r="G26">
        <v>180</v>
      </c>
      <c r="H26">
        <v>41.2</v>
      </c>
      <c r="I26">
        <v>88</v>
      </c>
      <c r="J26">
        <v>63</v>
      </c>
      <c r="K26">
        <v>372.2</v>
      </c>
    </row>
    <row r="27" spans="1:11" x14ac:dyDescent="0.25">
      <c r="A27">
        <v>2047</v>
      </c>
      <c r="B27" t="s">
        <v>141</v>
      </c>
      <c r="C27">
        <v>4.3499999999999996</v>
      </c>
      <c r="D27">
        <v>3.08</v>
      </c>
      <c r="E27">
        <v>5.7</v>
      </c>
      <c r="F27">
        <v>3.85</v>
      </c>
      <c r="G27">
        <v>180</v>
      </c>
      <c r="H27">
        <v>41.4</v>
      </c>
      <c r="I27">
        <v>88.5</v>
      </c>
      <c r="J27">
        <v>63.5</v>
      </c>
      <c r="K27">
        <v>373.4</v>
      </c>
    </row>
    <row r="28" spans="1:11" x14ac:dyDescent="0.25">
      <c r="A28">
        <v>2048</v>
      </c>
      <c r="B28" t="s">
        <v>141</v>
      </c>
      <c r="C28">
        <v>4.4000000000000004</v>
      </c>
      <c r="D28">
        <v>3.12</v>
      </c>
      <c r="E28">
        <v>5.8</v>
      </c>
      <c r="F28">
        <v>3.9</v>
      </c>
      <c r="G28">
        <v>180</v>
      </c>
      <c r="H28">
        <v>41.6</v>
      </c>
      <c r="I28">
        <v>89</v>
      </c>
      <c r="J28">
        <v>64</v>
      </c>
      <c r="K28">
        <v>374.6</v>
      </c>
    </row>
    <row r="29" spans="1:11" x14ac:dyDescent="0.25">
      <c r="A29">
        <v>2049</v>
      </c>
      <c r="B29" t="s">
        <v>141</v>
      </c>
      <c r="C29">
        <v>4.45</v>
      </c>
      <c r="D29">
        <v>3.16</v>
      </c>
      <c r="E29">
        <v>5.9</v>
      </c>
      <c r="F29">
        <v>3.95</v>
      </c>
      <c r="G29">
        <v>180</v>
      </c>
      <c r="H29">
        <v>41.8</v>
      </c>
      <c r="I29">
        <v>89.5</v>
      </c>
      <c r="J29">
        <v>64.5</v>
      </c>
      <c r="K29">
        <v>375.8</v>
      </c>
    </row>
    <row r="30" spans="1:11" x14ac:dyDescent="0.25">
      <c r="A30">
        <v>2050</v>
      </c>
      <c r="B30" t="s">
        <v>141</v>
      </c>
      <c r="C30">
        <v>4.5</v>
      </c>
      <c r="D30">
        <v>3.2</v>
      </c>
      <c r="E30">
        <v>6</v>
      </c>
      <c r="F30">
        <v>4</v>
      </c>
      <c r="G30">
        <v>180</v>
      </c>
      <c r="H30">
        <v>42</v>
      </c>
      <c r="I30">
        <v>90</v>
      </c>
      <c r="J30">
        <v>65</v>
      </c>
      <c r="K30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Context</vt:lpstr>
      <vt:lpstr>Assumption_Dictionary</vt:lpstr>
      <vt:lpstr>PV_Yield_Source</vt:lpstr>
      <vt:lpstr>PDP8_revised</vt:lpstr>
      <vt:lpstr>PDP8_PV_EV_BESS</vt:lpstr>
      <vt:lpstr>Directive10_RTS_EE</vt:lpstr>
      <vt:lpstr>EE_PDP8_reference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 Schult</cp:lastModifiedBy>
  <dcterms:created xsi:type="dcterms:W3CDTF">2026-04-02T13:29:31Z</dcterms:created>
  <dcterms:modified xsi:type="dcterms:W3CDTF">2026-05-11T06:54:46Z</dcterms:modified>
</cp:coreProperties>
</file>