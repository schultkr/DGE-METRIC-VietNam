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3B142D1B-4F3E-41F3-AC00-B6B9134B8D0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seline" sheetId="1" r:id="rId1"/>
    <sheet name="Sheet1" sheetId="3" r:id="rId2"/>
    <sheet name="NZ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3" i="1" l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F53" i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F52" i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D28" i="1"/>
  <c r="Y28" i="1"/>
  <c r="Z28" i="1" s="1"/>
  <c r="T28" i="1"/>
  <c r="P28" i="1" s="1"/>
  <c r="S28" i="1"/>
  <c r="R28" i="1"/>
  <c r="Q28" i="1"/>
  <c r="J28" i="1"/>
  <c r="N28" i="1" s="1"/>
  <c r="G28" i="1"/>
  <c r="F28" i="1"/>
  <c r="AC27" i="1"/>
  <c r="AB27" i="1"/>
  <c r="AA27" i="1"/>
  <c r="Z27" i="1"/>
  <c r="X27" i="1"/>
  <c r="W27" i="1"/>
  <c r="V27" i="1"/>
  <c r="U27" i="1"/>
  <c r="S27" i="1"/>
  <c r="R27" i="1"/>
  <c r="Q27" i="1"/>
  <c r="P27" i="1"/>
  <c r="N27" i="1"/>
  <c r="M27" i="1"/>
  <c r="L27" i="1"/>
  <c r="K27" i="1"/>
  <c r="I27" i="1"/>
  <c r="H27" i="1"/>
  <c r="G27" i="1"/>
  <c r="F27" i="1"/>
  <c r="AC26" i="1"/>
  <c r="AB26" i="1"/>
  <c r="AA26" i="1"/>
  <c r="Z26" i="1"/>
  <c r="X26" i="1"/>
  <c r="W26" i="1"/>
  <c r="V26" i="1"/>
  <c r="U26" i="1"/>
  <c r="S26" i="1"/>
  <c r="R26" i="1"/>
  <c r="Q26" i="1"/>
  <c r="P26" i="1"/>
  <c r="N26" i="1"/>
  <c r="M26" i="1"/>
  <c r="L26" i="1"/>
  <c r="K26" i="1"/>
  <c r="I26" i="1"/>
  <c r="H26" i="1"/>
  <c r="G26" i="1"/>
  <c r="F26" i="1"/>
  <c r="AC25" i="1"/>
  <c r="AB25" i="1"/>
  <c r="AA25" i="1"/>
  <c r="Z25" i="1"/>
  <c r="X25" i="1"/>
  <c r="W25" i="1"/>
  <c r="V25" i="1"/>
  <c r="U25" i="1"/>
  <c r="S25" i="1"/>
  <c r="R25" i="1"/>
  <c r="Q25" i="1"/>
  <c r="P25" i="1"/>
  <c r="N25" i="1"/>
  <c r="M25" i="1"/>
  <c r="L25" i="1"/>
  <c r="K25" i="1"/>
  <c r="I25" i="1"/>
  <c r="H25" i="1"/>
  <c r="G25" i="1"/>
  <c r="F25" i="1"/>
  <c r="AC24" i="1"/>
  <c r="AB24" i="1"/>
  <c r="AA24" i="1"/>
  <c r="Z24" i="1"/>
  <c r="X24" i="1"/>
  <c r="W24" i="1"/>
  <c r="V24" i="1"/>
  <c r="U24" i="1"/>
  <c r="S24" i="1"/>
  <c r="R24" i="1"/>
  <c r="Q24" i="1"/>
  <c r="P24" i="1"/>
  <c r="N24" i="1"/>
  <c r="M24" i="1"/>
  <c r="L24" i="1"/>
  <c r="K24" i="1"/>
  <c r="I24" i="1"/>
  <c r="H24" i="1"/>
  <c r="G24" i="1"/>
  <c r="F24" i="1"/>
  <c r="AD16" i="1"/>
  <c r="Z16" i="1"/>
  <c r="Y16" i="1"/>
  <c r="T16" i="1"/>
  <c r="O16" i="1"/>
  <c r="J16" i="1"/>
  <c r="F16" i="1"/>
  <c r="AC15" i="1"/>
  <c r="AB15" i="1"/>
  <c r="AA15" i="1"/>
  <c r="Z15" i="1"/>
  <c r="X15" i="1"/>
  <c r="W15" i="1"/>
  <c r="V15" i="1"/>
  <c r="U15" i="1"/>
  <c r="S15" i="1"/>
  <c r="R15" i="1"/>
  <c r="Q15" i="1"/>
  <c r="P15" i="1"/>
  <c r="N15" i="1"/>
  <c r="M15" i="1"/>
  <c r="L15" i="1"/>
  <c r="K15" i="1"/>
  <c r="I15" i="1"/>
  <c r="H15" i="1"/>
  <c r="G15" i="1"/>
  <c r="F15" i="1"/>
  <c r="AC14" i="1"/>
  <c r="AB14" i="1"/>
  <c r="AA14" i="1"/>
  <c r="Z14" i="1"/>
  <c r="X14" i="1"/>
  <c r="W14" i="1"/>
  <c r="V14" i="1"/>
  <c r="U14" i="1"/>
  <c r="S14" i="1"/>
  <c r="R14" i="1"/>
  <c r="Q14" i="1"/>
  <c r="P14" i="1"/>
  <c r="N14" i="1"/>
  <c r="M14" i="1"/>
  <c r="L14" i="1"/>
  <c r="K14" i="1"/>
  <c r="I14" i="1"/>
  <c r="H14" i="1"/>
  <c r="H16" i="1" s="1"/>
  <c r="G14" i="1"/>
  <c r="G16" i="1" s="1"/>
  <c r="F14" i="1"/>
  <c r="AC13" i="1"/>
  <c r="AC16" i="1" s="1"/>
  <c r="AB13" i="1"/>
  <c r="AB16" i="1" s="1"/>
  <c r="AA13" i="1"/>
  <c r="AA16" i="1" s="1"/>
  <c r="Z13" i="1"/>
  <c r="X13" i="1"/>
  <c r="W13" i="1"/>
  <c r="V13" i="1"/>
  <c r="U13" i="1"/>
  <c r="S13" i="1"/>
  <c r="R13" i="1"/>
  <c r="Q13" i="1"/>
  <c r="P13" i="1"/>
  <c r="N13" i="1"/>
  <c r="M13" i="1"/>
  <c r="L13" i="1"/>
  <c r="K13" i="1"/>
  <c r="I13" i="1"/>
  <c r="H13" i="1"/>
  <c r="G13" i="1"/>
  <c r="F13" i="1"/>
  <c r="AC12" i="1"/>
  <c r="AB12" i="1"/>
  <c r="AA12" i="1"/>
  <c r="Z12" i="1"/>
  <c r="X12" i="1"/>
  <c r="X16" i="1" s="1"/>
  <c r="W12" i="1"/>
  <c r="W16" i="1" s="1"/>
  <c r="V12" i="1"/>
  <c r="V16" i="1" s="1"/>
  <c r="U12" i="1"/>
  <c r="U16" i="1" s="1"/>
  <c r="S12" i="1"/>
  <c r="S16" i="1" s="1"/>
  <c r="R12" i="1"/>
  <c r="R16" i="1" s="1"/>
  <c r="Q12" i="1"/>
  <c r="Q16" i="1" s="1"/>
  <c r="P12" i="1"/>
  <c r="P16" i="1" s="1"/>
  <c r="N12" i="1"/>
  <c r="N16" i="1" s="1"/>
  <c r="M12" i="1"/>
  <c r="M16" i="1" s="1"/>
  <c r="L12" i="1"/>
  <c r="L16" i="1" s="1"/>
  <c r="K12" i="1"/>
  <c r="K16" i="1" s="1"/>
  <c r="I12" i="1"/>
  <c r="I16" i="1" s="1"/>
  <c r="H12" i="1"/>
  <c r="G12" i="1"/>
  <c r="F12" i="1"/>
  <c r="E7" i="1"/>
  <c r="X28" i="1" l="1"/>
  <c r="AB28" i="1"/>
  <c r="AC28" i="1"/>
  <c r="H28" i="1"/>
  <c r="AA28" i="1"/>
  <c r="I28" i="1"/>
  <c r="W28" i="1"/>
  <c r="K28" i="1"/>
  <c r="L28" i="1"/>
  <c r="M28" i="1"/>
  <c r="U28" i="1"/>
  <c r="V28" i="1"/>
</calcChain>
</file>

<file path=xl/sharedStrings.xml><?xml version="1.0" encoding="utf-8"?>
<sst xmlns="http://schemas.openxmlformats.org/spreadsheetml/2006/main" count="237" uniqueCount="138">
  <si>
    <t>Baseline Path Definition Template</t>
  </si>
  <si>
    <t>Input Variable</t>
  </si>
  <si>
    <t>Year</t>
  </si>
  <si>
    <t>Total value-added growth factor</t>
  </si>
  <si>
    <t>VA share - Primary</t>
  </si>
  <si>
    <t>VA share - Fossil</t>
  </si>
  <si>
    <t>VA share - Renewables</t>
  </si>
  <si>
    <t>VA share - Secondary</t>
  </si>
  <si>
    <t>VA share - Tertiary</t>
  </si>
  <si>
    <t>Total employment growth factor</t>
  </si>
  <si>
    <t>Employment share - Primary</t>
  </si>
  <si>
    <t>Employment share - Fossil</t>
  </si>
  <si>
    <t>Employment share - Renewables</t>
  </si>
  <si>
    <t>Employment share - Secondary</t>
  </si>
  <si>
    <t>Employment share - Tertiary</t>
  </si>
  <si>
    <t>Optional block: Emissions and Fossil Paths</t>
  </si>
  <si>
    <t>Sector emissions index - Primary</t>
  </si>
  <si>
    <t>Sector emissions index - Fossil</t>
  </si>
  <si>
    <t>Sector emissions index - Renewables</t>
  </si>
  <si>
    <t>Sector emissions index - Secondary</t>
  </si>
  <si>
    <t>Sector emissions index - Tertiary</t>
  </si>
  <si>
    <t>Fossil production index</t>
  </si>
  <si>
    <t>Fossil exports index</t>
  </si>
  <si>
    <t>Optional block: Public Capital Stock</t>
  </si>
  <si>
    <t>Public capital stock index - Primary</t>
  </si>
  <si>
    <t>Public capital stock index - subsector 2 (fossil)</t>
  </si>
  <si>
    <t>Public capital stock index - subsector 3 (renewables)</t>
  </si>
  <si>
    <t>Public capital stock index - Secondary</t>
  </si>
  <si>
    <t>Public capital stock index - Tertiary</t>
  </si>
  <si>
    <t>Optional block: Target Investment Ratios</t>
  </si>
  <si>
    <t>Target investment ratio - fossil</t>
  </si>
  <si>
    <t>Target investment ratio - renewables</t>
  </si>
  <si>
    <t>Optional block: Target Investment Logicals</t>
  </si>
  <si>
    <t>Target investment logical - fossil</t>
  </si>
  <si>
    <t>Target investment logical - renewables</t>
  </si>
  <si>
    <t>Optional block: Investment Prices</t>
  </si>
  <si>
    <t>Investment price index - Primary</t>
  </si>
  <si>
    <t>Investment price index - subsector 2 (fossil)</t>
  </si>
  <si>
    <t>Investment price index - subsector 3 (renewables)</t>
  </si>
  <si>
    <t>Investment price index - Secondary</t>
  </si>
  <si>
    <t>Investment price index - Tertiary</t>
  </si>
  <si>
    <t>Optional block: Public Capital Interest Rates</t>
  </si>
  <si>
    <t>Public capital interest rate index - Primary</t>
  </si>
  <si>
    <t>Public capital interest rate index - subsector 2 (fossil)</t>
  </si>
  <si>
    <t>Public capital interest rate index - subsector 3 (renewables)</t>
  </si>
  <si>
    <t>Public capital interest rate index - Secondary</t>
  </si>
  <si>
    <t>Public capital interest rate index - Tertiary</t>
  </si>
  <si>
    <t>Optional block: Emissions Price</t>
  </si>
  <si>
    <t>Global emissions price index</t>
  </si>
  <si>
    <t>Regional emissions price index (region 1)</t>
  </si>
  <si>
    <t>Optional block: Demographics</t>
  </si>
  <si>
    <t>Labour force index (region 1)</t>
  </si>
  <si>
    <t>Non-labour force index (region 1)</t>
  </si>
  <si>
    <t>Optional block: Sector Energy Efficiency Targets</t>
  </si>
  <si>
    <t>Energy-efficiency target index - Primary</t>
  </si>
  <si>
    <t>Energy-efficiency target index - Fossil</t>
  </si>
  <si>
    <t>Energy-efficiency target index - Renewables</t>
  </si>
  <si>
    <t>Energy-efficiency target index - Secondary</t>
  </si>
  <si>
    <t>Energy-efficiency target index - Tertiary</t>
  </si>
  <si>
    <t>Optional block: Rooftop Solar (PV)</t>
  </si>
  <si>
    <t>Rooftop PV investment index</t>
  </si>
  <si>
    <t>Rooftop PV production index</t>
  </si>
  <si>
    <t>Import Key</t>
  </si>
  <si>
    <t>Conversion Rule</t>
  </si>
  <si>
    <t>Notes</t>
  </si>
  <si>
    <t>gva_growth_total</t>
  </si>
  <si>
    <t>direct (growth-factor level)</t>
  </si>
  <si>
    <t>va_share_1</t>
  </si>
  <si>
    <t>direct (share level)</t>
  </si>
  <si>
    <t>va_share_2</t>
  </si>
  <si>
    <t>va_share_3</t>
  </si>
  <si>
    <t>va_share_4</t>
  </si>
  <si>
    <t>va_share_5</t>
  </si>
  <si>
    <t>emp_growth_total</t>
  </si>
  <si>
    <t>emp_share_1</t>
  </si>
  <si>
    <t>emp_share_2</t>
  </si>
  <si>
    <t>emp_share_3</t>
  </si>
  <si>
    <t>emp_share_4</t>
  </si>
  <si>
    <t>emp_share_5</t>
  </si>
  <si>
    <t>exo_E_1_1</t>
  </si>
  <si>
    <t>log(index/index(1))</t>
  </si>
  <si>
    <t>exo_E_2_1</t>
  </si>
  <si>
    <t>exo_E_3_1</t>
  </si>
  <si>
    <t>exo_E_4_1</t>
  </si>
  <si>
    <t>exo_E_5_1</t>
  </si>
  <si>
    <t>exo_Q_2_1</t>
  </si>
  <si>
    <t>exo_X_2_1</t>
  </si>
  <si>
    <t>exo_K_G_1_1</t>
  </si>
  <si>
    <t>exo_K_G_2_1</t>
  </si>
  <si>
    <t>exo_K_G_3_1</t>
  </si>
  <si>
    <t>exo_K_G_4_1</t>
  </si>
  <si>
    <t>exo_K_G_5_1</t>
  </si>
  <si>
    <t>exo_targetIY_2_1</t>
  </si>
  <si>
    <t>exo_targetIY_3_1</t>
  </si>
  <si>
    <t>Section header</t>
  </si>
  <si>
    <t>exo_lTargetInv_2_1</t>
  </si>
  <si>
    <t>1 if value&gt;0 else 0</t>
  </si>
  <si>
    <t>exo_lTargetInv_3_1</t>
  </si>
  <si>
    <t>exo_P_K_1_1</t>
  </si>
  <si>
    <t>additive (index-index(1))</t>
  </si>
  <si>
    <t>exo_P_K_2_1</t>
  </si>
  <si>
    <t>exo_P_K_3_1</t>
  </si>
  <si>
    <t>exo_P_K_4_1</t>
  </si>
  <si>
    <t>exo_P_K_5_1</t>
  </si>
  <si>
    <t>exo_r_G_1_1</t>
  </si>
  <si>
    <t>direct (level)</t>
  </si>
  <si>
    <t>exo_r_G_2_1</t>
  </si>
  <si>
    <t>exo_r_G_3_1</t>
  </si>
  <si>
    <t>exo_r_G_4_1</t>
  </si>
  <si>
    <t>exo_r_G_5_1</t>
  </si>
  <si>
    <t>exo_PE</t>
  </si>
  <si>
    <t>exo_PE_1</t>
  </si>
  <si>
    <t>exo_LF_1</t>
  </si>
  <si>
    <t>exo_NLF_1</t>
  </si>
  <si>
    <t>exo_etaKA_1_1</t>
  </si>
  <si>
    <t>log(index)</t>
  </si>
  <si>
    <t>exo_etaKA_2_1</t>
  </si>
  <si>
    <t>exo_etaKA_3_1</t>
  </si>
  <si>
    <t>exo_etaKA_4_1</t>
  </si>
  <si>
    <t>exo_etaKA_5_1</t>
  </si>
  <si>
    <t>exo_PV_1</t>
  </si>
  <si>
    <t>exo_PVEff_1</t>
  </si>
  <si>
    <t>NZ Scenario Path Definition</t>
  </si>
  <si>
    <t>Aggregate emissions index</t>
  </si>
  <si>
    <t>Optional block: Carbon Policy</t>
  </si>
  <si>
    <t>Cap-and-trade active (1=on, 0=off)</t>
  </si>
  <si>
    <t>Optional block: Carbon Price</t>
  </si>
  <si>
    <t>Emissions price index</t>
  </si>
  <si>
    <t>EE target index - Primary</t>
  </si>
  <si>
    <t>EE target index - Fossil</t>
  </si>
  <si>
    <t>EE target index - Renewables</t>
  </si>
  <si>
    <t>EE target index - Secondary</t>
  </si>
  <si>
    <t>EE target index - Tertiary</t>
  </si>
  <si>
    <t>Optional block: Fossil Paths</t>
  </si>
  <si>
    <t>exo_E_1</t>
  </si>
  <si>
    <t>exo_CapTrade_1</t>
  </si>
  <si>
    <t>direct (0/1 flag)</t>
  </si>
  <si>
    <t>direct (share of GDP from PDP8 investment + maintenance)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</si>
</sst>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5"/>
  <sheetViews>
    <sheetView tabSelected="1" zoomScale="115" zoomScaleNormal="115" workbookViewId="0">
      <pane xSplit="4" ySplit="9" topLeftCell="E71" activePane="bottomRight" state="frozenSplit"/>
      <selection pane="topRight" activeCell="E1" sqref="E1"/>
      <selection pane="bottomLeft" activeCell="A10" sqref="A10"/>
      <selection pane="bottomRight" activeCell="AD95" sqref="E94:AD95"/>
    </sheetView>
  </sheetViews>
  <sheetFormatPr defaultRowHeight="15" x14ac:dyDescent="0.25"/>
  <cols>
    <col min="1" max="1" width="52.7109375" customWidth="1"/>
    <col min="2" max="2" width="18.28515625" customWidth="1"/>
    <col min="3" max="3" width="53.140625" customWidth="1"/>
    <col min="4" max="4" width="38.7109375" customWidth="1"/>
    <col min="5" max="6" width="14.7109375" style="6" customWidth="1"/>
    <col min="7" max="13" width="13.7109375" style="6" customWidth="1"/>
    <col min="14" max="16" width="14.7109375" style="6" customWidth="1"/>
    <col min="17" max="30" width="13.7109375" style="6" customWidth="1"/>
  </cols>
  <sheetData>
    <row r="1" spans="1:30" ht="18.75" x14ac:dyDescent="0.3">
      <c r="A1" s="13" t="s">
        <v>0</v>
      </c>
      <c r="B1" s="14"/>
      <c r="C1" s="14"/>
      <c r="D1" s="14"/>
    </row>
    <row r="7" spans="1:30" x14ac:dyDescent="0.25">
      <c r="E7" s="6">
        <f>PRODUCT(E10:AD10)</f>
        <v>7.5253273429907024</v>
      </c>
    </row>
    <row r="8" spans="1:30" x14ac:dyDescent="0.25">
      <c r="A8" s="2" t="s">
        <v>1</v>
      </c>
      <c r="B8" s="2" t="s">
        <v>62</v>
      </c>
      <c r="C8" s="2" t="s">
        <v>63</v>
      </c>
      <c r="D8" s="2" t="s">
        <v>64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x14ac:dyDescent="0.25">
      <c r="D9" s="1" t="s">
        <v>2</v>
      </c>
      <c r="E9" s="8">
        <v>2025</v>
      </c>
      <c r="F9" s="8">
        <v>2026</v>
      </c>
      <c r="G9" s="8">
        <v>2027</v>
      </c>
      <c r="H9" s="8">
        <v>2028</v>
      </c>
      <c r="I9" s="8">
        <v>2029</v>
      </c>
      <c r="J9" s="8">
        <v>2030</v>
      </c>
      <c r="K9" s="8">
        <v>2031</v>
      </c>
      <c r="L9" s="8">
        <v>2032</v>
      </c>
      <c r="M9" s="8">
        <v>2033</v>
      </c>
      <c r="N9" s="8">
        <v>2034</v>
      </c>
      <c r="O9" s="8">
        <v>2035</v>
      </c>
      <c r="P9" s="8">
        <v>2036</v>
      </c>
      <c r="Q9" s="8">
        <v>2037</v>
      </c>
      <c r="R9" s="8">
        <v>2038</v>
      </c>
      <c r="S9" s="8">
        <v>2039</v>
      </c>
      <c r="T9" s="8">
        <v>2040</v>
      </c>
      <c r="U9" s="8">
        <v>2041</v>
      </c>
      <c r="V9" s="8">
        <v>2042</v>
      </c>
      <c r="W9" s="8">
        <v>2043</v>
      </c>
      <c r="X9" s="8">
        <v>2044</v>
      </c>
      <c r="Y9" s="8">
        <v>2045</v>
      </c>
      <c r="Z9" s="8">
        <v>2046</v>
      </c>
      <c r="AA9" s="8">
        <v>2047</v>
      </c>
      <c r="AB9" s="8">
        <v>2048</v>
      </c>
      <c r="AC9" s="8">
        <v>2049</v>
      </c>
      <c r="AD9" s="8">
        <v>2050</v>
      </c>
    </row>
    <row r="10" spans="1:30" x14ac:dyDescent="0.25">
      <c r="A10" s="4" t="s">
        <v>3</v>
      </c>
      <c r="B10" s="4" t="s">
        <v>65</v>
      </c>
      <c r="C10" s="4" t="s">
        <v>66</v>
      </c>
      <c r="D10" s="4"/>
      <c r="E10" s="11">
        <v>1.1000000000000001</v>
      </c>
      <c r="F10" s="11">
        <v>1.1000000000000001</v>
      </c>
      <c r="G10" s="11">
        <v>1.1000000000000001</v>
      </c>
      <c r="H10" s="11">
        <v>1.1000000000000001</v>
      </c>
      <c r="I10" s="11">
        <v>1.1000000000000001</v>
      </c>
      <c r="J10" s="11">
        <v>1.1000000000000001</v>
      </c>
      <c r="K10" s="12">
        <v>1.075</v>
      </c>
      <c r="L10" s="12">
        <v>1.075</v>
      </c>
      <c r="M10" s="12">
        <v>1.075</v>
      </c>
      <c r="N10" s="12">
        <v>1.075</v>
      </c>
      <c r="O10" s="12">
        <v>1.075</v>
      </c>
      <c r="P10" s="12">
        <v>1.075</v>
      </c>
      <c r="Q10" s="12">
        <v>1.075</v>
      </c>
      <c r="R10" s="12">
        <v>1.075</v>
      </c>
      <c r="S10" s="12">
        <v>1.075</v>
      </c>
      <c r="T10" s="12">
        <v>1.075</v>
      </c>
      <c r="U10" s="12">
        <v>1.075</v>
      </c>
      <c r="V10" s="12">
        <v>1.075</v>
      </c>
      <c r="W10" s="12">
        <v>1.075</v>
      </c>
      <c r="X10" s="12">
        <v>1.075</v>
      </c>
      <c r="Y10" s="12">
        <v>1.075</v>
      </c>
      <c r="Z10" s="12">
        <v>1.075</v>
      </c>
      <c r="AA10" s="12">
        <v>1.075</v>
      </c>
      <c r="AB10" s="12">
        <v>1.075</v>
      </c>
      <c r="AC10" s="12">
        <v>1.075</v>
      </c>
      <c r="AD10" s="12">
        <v>1.075</v>
      </c>
    </row>
    <row r="11" spans="1:30" x14ac:dyDescent="0.25">
      <c r="D11" s="3" t="s">
        <v>2</v>
      </c>
      <c r="E11" s="10">
        <v>2025</v>
      </c>
      <c r="F11" s="10">
        <v>2026</v>
      </c>
      <c r="G11" s="10">
        <v>2027</v>
      </c>
      <c r="H11" s="10">
        <v>2028</v>
      </c>
      <c r="I11" s="10">
        <v>2029</v>
      </c>
      <c r="J11" s="10">
        <v>2030</v>
      </c>
      <c r="K11" s="10">
        <v>2031</v>
      </c>
      <c r="L11" s="10">
        <v>2032</v>
      </c>
      <c r="M11" s="10">
        <v>2033</v>
      </c>
      <c r="N11" s="10">
        <v>2034</v>
      </c>
      <c r="O11" s="10">
        <v>2035</v>
      </c>
      <c r="P11" s="10">
        <v>2036</v>
      </c>
      <c r="Q11" s="10">
        <v>2037</v>
      </c>
      <c r="R11" s="10">
        <v>2038</v>
      </c>
      <c r="S11" s="10">
        <v>2039</v>
      </c>
      <c r="T11" s="10">
        <v>2040</v>
      </c>
      <c r="U11" s="10">
        <v>2041</v>
      </c>
      <c r="V11" s="10">
        <v>2042</v>
      </c>
      <c r="W11" s="10">
        <v>2043</v>
      </c>
      <c r="X11" s="10">
        <v>2044</v>
      </c>
      <c r="Y11" s="10">
        <v>2045</v>
      </c>
      <c r="Z11" s="10">
        <v>2046</v>
      </c>
      <c r="AA11" s="10">
        <v>2047</v>
      </c>
      <c r="AB11" s="10">
        <v>2048</v>
      </c>
      <c r="AC11" s="10">
        <v>2049</v>
      </c>
      <c r="AD11" s="10">
        <v>2050</v>
      </c>
    </row>
    <row r="12" spans="1:30" x14ac:dyDescent="0.25">
      <c r="A12" t="s">
        <v>4</v>
      </c>
      <c r="B12" t="s">
        <v>67</v>
      </c>
      <c r="C12" t="s">
        <v>68</v>
      </c>
      <c r="E12" s="9">
        <v>0.12803192661464841</v>
      </c>
      <c r="F12" s="9">
        <f>(4*E12+1*J12)/5</f>
        <v>0.12242554129171872</v>
      </c>
      <c r="G12" s="9">
        <f>(3*E12+2*J12)/5</f>
        <v>0.11681915596878904</v>
      </c>
      <c r="H12" s="9">
        <f>(2*E12+3*J12)/5</f>
        <v>0.11121277064585937</v>
      </c>
      <c r="I12" s="9">
        <f>(1*E12+4*J12)/5</f>
        <v>0.10560638532292969</v>
      </c>
      <c r="J12" s="9">
        <v>0.1</v>
      </c>
      <c r="K12" s="9">
        <f>(4*J12+1*O12)/5</f>
        <v>9.6000000000000002E-2</v>
      </c>
      <c r="L12" s="9">
        <f>(3*J12+2*O12)/5</f>
        <v>9.2000000000000012E-2</v>
      </c>
      <c r="M12" s="9">
        <f>(2*J12+3*O12)/5</f>
        <v>8.7999999999999995E-2</v>
      </c>
      <c r="N12" s="9">
        <f>(1*J12+4*O12)/5</f>
        <v>8.4000000000000005E-2</v>
      </c>
      <c r="O12" s="9">
        <v>0.08</v>
      </c>
      <c r="P12" s="9">
        <f>(4*O12+1*T12)/5</f>
        <v>7.5999999999999998E-2</v>
      </c>
      <c r="Q12" s="9">
        <f>(3*O12+2*T12)/5</f>
        <v>7.1999999999999995E-2</v>
      </c>
      <c r="R12" s="9">
        <f>(2*O12+3*T12)/5</f>
        <v>6.7999999999999991E-2</v>
      </c>
      <c r="S12" s="9">
        <f>(1*O12+4*T12)/5</f>
        <v>6.4000000000000001E-2</v>
      </c>
      <c r="T12" s="9">
        <v>0.06</v>
      </c>
      <c r="U12" s="9">
        <f>(4*T12+1*Y12)/5</f>
        <v>5.5999999999999994E-2</v>
      </c>
      <c r="V12" s="9">
        <f>(3*T12+2*Y12)/5</f>
        <v>5.2000000000000005E-2</v>
      </c>
      <c r="W12" s="9">
        <f>(2*T12+3*Y12)/5</f>
        <v>4.8000000000000001E-2</v>
      </c>
      <c r="X12" s="9">
        <f>(1*T12+4*Y12)/5</f>
        <v>4.3999999999999997E-2</v>
      </c>
      <c r="Y12" s="9">
        <v>0.04</v>
      </c>
      <c r="Z12" s="9">
        <f>(4*Y12+1*AD12)/5</f>
        <v>3.5999999999999997E-2</v>
      </c>
      <c r="AA12" s="9">
        <f>(3*Y12+2*AD12)/5</f>
        <v>3.2000000000000001E-2</v>
      </c>
      <c r="AB12" s="9">
        <f>(2*Y12+3*AD12)/5</f>
        <v>2.8000000000000004E-2</v>
      </c>
      <c r="AC12" s="9">
        <f>(1*Y12+4*AD12)/5</f>
        <v>2.4E-2</v>
      </c>
      <c r="AD12" s="9">
        <v>0.02</v>
      </c>
    </row>
    <row r="13" spans="1:30" x14ac:dyDescent="0.25">
      <c r="A13" t="s">
        <v>5</v>
      </c>
      <c r="B13" t="s">
        <v>69</v>
      </c>
      <c r="C13" t="s">
        <v>68</v>
      </c>
      <c r="E13" s="9">
        <v>5.4360093054356788E-2</v>
      </c>
      <c r="F13" s="9">
        <f>(4*E13+1*J13)/5</f>
        <v>4.7488074443485427E-2</v>
      </c>
      <c r="G13" s="9">
        <f>(3*E13+2*J13)/5</f>
        <v>4.0616055832614073E-2</v>
      </c>
      <c r="H13" s="9">
        <f>(2*E13+3*J13)/5</f>
        <v>3.3744037221742719E-2</v>
      </c>
      <c r="I13" s="9">
        <f>(1*E13+4*J13)/5</f>
        <v>2.6872018610871358E-2</v>
      </c>
      <c r="J13" s="9">
        <v>0.02</v>
      </c>
      <c r="K13" s="9">
        <f>(4*J13+1*O13)/5</f>
        <v>1.9E-2</v>
      </c>
      <c r="L13" s="9">
        <f>(3*J13+2*O13)/5</f>
        <v>1.7999999999999999E-2</v>
      </c>
      <c r="M13" s="9">
        <f>(2*J13+3*O13)/5</f>
        <v>1.6999999999999998E-2</v>
      </c>
      <c r="N13" s="9">
        <f>(1*J13+4*O13)/5</f>
        <v>1.6E-2</v>
      </c>
      <c r="O13" s="9">
        <v>1.4999999999999999E-2</v>
      </c>
      <c r="P13" s="9">
        <f>(4*O13+1*T13)/5</f>
        <v>1.4499999999999999E-2</v>
      </c>
      <c r="Q13" s="9">
        <f>(3*O13+2*T13)/5</f>
        <v>1.4000000000000002E-2</v>
      </c>
      <c r="R13" s="9">
        <f>(2*O13+3*T13)/5</f>
        <v>1.3500000000000002E-2</v>
      </c>
      <c r="S13" s="9">
        <f>(1*O13+4*T13)/5</f>
        <v>1.3000000000000001E-2</v>
      </c>
      <c r="T13" s="9">
        <v>1.2500000000000001E-2</v>
      </c>
      <c r="U13" s="9">
        <f>(4*T13+1*Y13)/5</f>
        <v>1.225E-2</v>
      </c>
      <c r="V13" s="9">
        <f>(3*T13+2*Y13)/5</f>
        <v>1.2E-2</v>
      </c>
      <c r="W13" s="9">
        <f>(2*T13+3*Y13)/5</f>
        <v>1.175E-2</v>
      </c>
      <c r="X13" s="9">
        <f>(1*T13+4*Y13)/5</f>
        <v>1.15E-2</v>
      </c>
      <c r="Y13" s="9">
        <v>1.125E-2</v>
      </c>
      <c r="Z13" s="9">
        <f>(4*Y13+1*AD13)/5</f>
        <v>1.0999999999999999E-2</v>
      </c>
      <c r="AA13" s="9">
        <f>(3*Y13+2*AD13)/5</f>
        <v>1.0750000000000001E-2</v>
      </c>
      <c r="AB13" s="9">
        <f>(2*Y13+3*AD13)/5</f>
        <v>1.0499999999999999E-2</v>
      </c>
      <c r="AC13" s="9">
        <f>(1*Y13+4*AD13)/5</f>
        <v>1.025E-2</v>
      </c>
      <c r="AD13" s="9">
        <v>0.01</v>
      </c>
    </row>
    <row r="14" spans="1:30" x14ac:dyDescent="0.25">
      <c r="A14" t="s">
        <v>6</v>
      </c>
      <c r="B14" t="s">
        <v>70</v>
      </c>
      <c r="C14" t="s">
        <v>68</v>
      </c>
      <c r="E14" s="9">
        <v>9.7033459674589605E-3</v>
      </c>
      <c r="F14" s="9">
        <f>(4*E14+1*J14)/5</f>
        <v>1.0762676773967169E-2</v>
      </c>
      <c r="G14" s="9">
        <f>(3*E14+2*J14)/5</f>
        <v>1.1822007580475375E-2</v>
      </c>
      <c r="H14" s="9">
        <f>(2*E14+3*J14)/5</f>
        <v>1.2881338386983585E-2</v>
      </c>
      <c r="I14" s="9">
        <f>(1*E14+4*J14)/5</f>
        <v>1.3940669193491791E-2</v>
      </c>
      <c r="J14" s="9">
        <v>1.4999999999999999E-2</v>
      </c>
      <c r="K14" s="9">
        <f>(4*J14+1*O14)/5</f>
        <v>1.6E-2</v>
      </c>
      <c r="L14" s="9">
        <f>(3*J14+2*O14)/5</f>
        <v>1.6999999999999998E-2</v>
      </c>
      <c r="M14" s="9">
        <f>(2*J14+3*O14)/5</f>
        <v>1.7999999999999999E-2</v>
      </c>
      <c r="N14" s="9">
        <f>(1*J14+4*O14)/5</f>
        <v>1.9E-2</v>
      </c>
      <c r="O14" s="9">
        <v>0.02</v>
      </c>
      <c r="P14" s="9">
        <f>(4*O14+1*T14)/5</f>
        <v>2.1000000000000001E-2</v>
      </c>
      <c r="Q14" s="9">
        <f>(3*O14+2*T14)/5</f>
        <v>2.1999999999999999E-2</v>
      </c>
      <c r="R14" s="9">
        <f>(2*O14+3*T14)/5</f>
        <v>2.3000000000000003E-2</v>
      </c>
      <c r="S14" s="9">
        <f>(1*O14+4*T14)/5</f>
        <v>2.4E-2</v>
      </c>
      <c r="T14" s="9">
        <v>2.5000000000000001E-2</v>
      </c>
      <c r="U14" s="9">
        <f>(4*T14+1*Y14)/5</f>
        <v>2.6000000000000002E-2</v>
      </c>
      <c r="V14" s="9">
        <f>(3*T14+2*Y14)/5</f>
        <v>2.7000000000000003E-2</v>
      </c>
      <c r="W14" s="9">
        <f>(2*T14+3*Y14)/5</f>
        <v>2.8000000000000004E-2</v>
      </c>
      <c r="X14" s="9">
        <f>(1*T14+4*Y14)/5</f>
        <v>2.8999999999999998E-2</v>
      </c>
      <c r="Y14" s="9">
        <v>0.03</v>
      </c>
      <c r="Z14" s="9">
        <f>(4*Y14+1*AD14)/5</f>
        <v>3.1E-2</v>
      </c>
      <c r="AA14" s="9">
        <f>(3*Y14+2*AD14)/5</f>
        <v>3.2000000000000001E-2</v>
      </c>
      <c r="AB14" s="9">
        <f>(2*Y14+3*AD14)/5</f>
        <v>3.3000000000000002E-2</v>
      </c>
      <c r="AC14" s="9">
        <f>(1*Y14+4*AD14)/5</f>
        <v>3.4000000000000002E-2</v>
      </c>
      <c r="AD14" s="9">
        <v>3.5000000000000003E-2</v>
      </c>
    </row>
    <row r="15" spans="1:30" x14ac:dyDescent="0.25">
      <c r="A15" t="s">
        <v>7</v>
      </c>
      <c r="B15" t="s">
        <v>71</v>
      </c>
      <c r="C15" t="s">
        <v>68</v>
      </c>
      <c r="E15" s="9">
        <v>0.32825395486111358</v>
      </c>
      <c r="F15" s="9">
        <f>(4*E15+1*J15)/5</f>
        <v>0.34260316388889089</v>
      </c>
      <c r="G15" s="9">
        <f>(3*E15+2*J15)/5</f>
        <v>0.35695237291666815</v>
      </c>
      <c r="H15" s="9">
        <f>(2*E15+3*J15)/5</f>
        <v>0.37130158194444551</v>
      </c>
      <c r="I15" s="9">
        <f>(1*E15+4*J15)/5</f>
        <v>0.38565079097222277</v>
      </c>
      <c r="J15" s="9">
        <v>0.4</v>
      </c>
      <c r="K15" s="9">
        <f>(4*J15+1*O15)/5</f>
        <v>0.38565079097222277</v>
      </c>
      <c r="L15" s="9">
        <f>(3*J15+2*O15)/5</f>
        <v>0.37130158194444551</v>
      </c>
      <c r="M15" s="9">
        <f>(2*J15+3*O15)/5</f>
        <v>0.35695237291666815</v>
      </c>
      <c r="N15" s="9">
        <f>(1*J15+4*O15)/5</f>
        <v>0.34260316388889089</v>
      </c>
      <c r="O15" s="9">
        <v>0.32825395486111358</v>
      </c>
      <c r="P15" s="9">
        <f>(4*O15+1*T15)/5</f>
        <v>0.32760316388889088</v>
      </c>
      <c r="Q15" s="9">
        <f>(3*O15+2*T15)/5</f>
        <v>0.32695237291666812</v>
      </c>
      <c r="R15" s="9">
        <f>(2*O15+3*T15)/5</f>
        <v>0.32630158194444547</v>
      </c>
      <c r="S15" s="9">
        <f>(1*O15+4*T15)/5</f>
        <v>0.32565079097222271</v>
      </c>
      <c r="T15" s="9">
        <v>0.32500000000000001</v>
      </c>
      <c r="U15" s="9">
        <f>(4*T15+1*Y15)/5</f>
        <v>0.32</v>
      </c>
      <c r="V15" s="9">
        <f>(3*T15+2*Y15)/5</f>
        <v>0.31500000000000006</v>
      </c>
      <c r="W15" s="9">
        <f>(2*T15+3*Y15)/5</f>
        <v>0.30999999999999994</v>
      </c>
      <c r="X15" s="9">
        <f>(1*T15+4*Y15)/5</f>
        <v>0.30499999999999999</v>
      </c>
      <c r="Y15" s="9">
        <v>0.3</v>
      </c>
      <c r="Z15" s="9">
        <f>(4*Y15+1*AD15)/5</f>
        <v>0.28999999999999998</v>
      </c>
      <c r="AA15" s="9">
        <f>(3*Y15+2*AD15)/5</f>
        <v>0.27999999999999997</v>
      </c>
      <c r="AB15" s="9">
        <f>(2*Y15+3*AD15)/5</f>
        <v>0.27</v>
      </c>
      <c r="AC15" s="9">
        <f>(1*Y15+4*AD15)/5</f>
        <v>0.26</v>
      </c>
      <c r="AD15" s="9">
        <v>0.25</v>
      </c>
    </row>
    <row r="16" spans="1:30" x14ac:dyDescent="0.25">
      <c r="A16" t="s">
        <v>8</v>
      </c>
      <c r="B16" t="s">
        <v>72</v>
      </c>
      <c r="C16" t="s">
        <v>68</v>
      </c>
      <c r="E16" s="9">
        <v>0.47965067950242218</v>
      </c>
      <c r="F16" s="9">
        <f t="shared" ref="F16:AD16" si="0">1-SUM(F12:F15)</f>
        <v>0.47672054360193783</v>
      </c>
      <c r="G16" s="9">
        <f t="shared" si="0"/>
        <v>0.47379040770145331</v>
      </c>
      <c r="H16" s="9">
        <f t="shared" si="0"/>
        <v>0.47086027180096879</v>
      </c>
      <c r="I16" s="9">
        <f t="shared" si="0"/>
        <v>0.46793013590048438</v>
      </c>
      <c r="J16" s="9">
        <f t="shared" si="0"/>
        <v>0.46499999999999997</v>
      </c>
      <c r="K16" s="9">
        <f t="shared" si="0"/>
        <v>0.48334920902777723</v>
      </c>
      <c r="L16" s="9">
        <f t="shared" si="0"/>
        <v>0.50169841805555448</v>
      </c>
      <c r="M16" s="9">
        <f t="shared" si="0"/>
        <v>0.52004762708333185</v>
      </c>
      <c r="N16" s="9">
        <f t="shared" si="0"/>
        <v>0.53839683611110911</v>
      </c>
      <c r="O16" s="9">
        <f t="shared" si="0"/>
        <v>0.55674604513888637</v>
      </c>
      <c r="P16" s="9">
        <f t="shared" si="0"/>
        <v>0.56089683611110908</v>
      </c>
      <c r="Q16" s="9">
        <f t="shared" si="0"/>
        <v>0.56504762708333189</v>
      </c>
      <c r="R16" s="9">
        <f t="shared" si="0"/>
        <v>0.56919841805555449</v>
      </c>
      <c r="S16" s="9">
        <f t="shared" si="0"/>
        <v>0.57334920902777731</v>
      </c>
      <c r="T16" s="9">
        <f t="shared" si="0"/>
        <v>0.57750000000000001</v>
      </c>
      <c r="U16" s="9">
        <f t="shared" si="0"/>
        <v>0.58574999999999999</v>
      </c>
      <c r="V16" s="9">
        <f t="shared" si="0"/>
        <v>0.59399999999999997</v>
      </c>
      <c r="W16" s="9">
        <f t="shared" si="0"/>
        <v>0.60225000000000006</v>
      </c>
      <c r="X16" s="9">
        <f t="shared" si="0"/>
        <v>0.61050000000000004</v>
      </c>
      <c r="Y16" s="9">
        <f t="shared" si="0"/>
        <v>0.61875000000000002</v>
      </c>
      <c r="Z16" s="9">
        <f t="shared" si="0"/>
        <v>0.63200000000000001</v>
      </c>
      <c r="AA16" s="9">
        <f t="shared" si="0"/>
        <v>0.64524999999999999</v>
      </c>
      <c r="AB16" s="9">
        <f t="shared" si="0"/>
        <v>0.65849999999999997</v>
      </c>
      <c r="AC16" s="9">
        <f t="shared" si="0"/>
        <v>0.67174999999999996</v>
      </c>
      <c r="AD16" s="9">
        <f t="shared" si="0"/>
        <v>0.68500000000000005</v>
      </c>
    </row>
    <row r="22" spans="1:30" x14ac:dyDescent="0.25">
      <c r="A22" s="4" t="s">
        <v>9</v>
      </c>
      <c r="B22" s="4" t="s">
        <v>73</v>
      </c>
      <c r="C22" s="4" t="s">
        <v>66</v>
      </c>
      <c r="D22" s="4"/>
      <c r="E22" s="9">
        <v>1</v>
      </c>
      <c r="F22" s="9">
        <v>1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9">
        <v>1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>
        <v>1</v>
      </c>
      <c r="W22" s="9">
        <v>1</v>
      </c>
      <c r="X22" s="9">
        <v>1</v>
      </c>
      <c r="Y22" s="9">
        <v>1</v>
      </c>
      <c r="Z22" s="9">
        <v>1</v>
      </c>
      <c r="AA22" s="9">
        <v>1</v>
      </c>
      <c r="AB22" s="9">
        <v>1</v>
      </c>
      <c r="AC22" s="9">
        <v>1</v>
      </c>
      <c r="AD22" s="9">
        <v>1</v>
      </c>
    </row>
    <row r="23" spans="1:30" x14ac:dyDescent="0.25">
      <c r="D23" s="3" t="s">
        <v>2</v>
      </c>
      <c r="E23" s="10">
        <v>2025</v>
      </c>
      <c r="F23" s="10">
        <v>2026</v>
      </c>
      <c r="G23" s="10">
        <v>2027</v>
      </c>
      <c r="H23" s="10">
        <v>2028</v>
      </c>
      <c r="I23" s="10">
        <v>2029</v>
      </c>
      <c r="J23" s="10">
        <v>2030</v>
      </c>
      <c r="K23" s="10">
        <v>2031</v>
      </c>
      <c r="L23" s="10">
        <v>2032</v>
      </c>
      <c r="M23" s="10">
        <v>2033</v>
      </c>
      <c r="N23" s="10">
        <v>2034</v>
      </c>
      <c r="O23" s="10">
        <v>2035</v>
      </c>
      <c r="P23" s="10">
        <v>2036</v>
      </c>
      <c r="Q23" s="10">
        <v>2037</v>
      </c>
      <c r="R23" s="10">
        <v>2038</v>
      </c>
      <c r="S23" s="10">
        <v>2039</v>
      </c>
      <c r="T23" s="10">
        <v>2040</v>
      </c>
      <c r="U23" s="10">
        <v>2041</v>
      </c>
      <c r="V23" s="10">
        <v>2042</v>
      </c>
      <c r="W23" s="10">
        <v>2043</v>
      </c>
      <c r="X23" s="10">
        <v>2044</v>
      </c>
      <c r="Y23" s="10">
        <v>2045</v>
      </c>
      <c r="Z23" s="10">
        <v>2046</v>
      </c>
      <c r="AA23" s="10">
        <v>2047</v>
      </c>
      <c r="AB23" s="10">
        <v>2048</v>
      </c>
      <c r="AC23" s="10">
        <v>2049</v>
      </c>
      <c r="AD23" s="10">
        <v>2050</v>
      </c>
    </row>
    <row r="24" spans="1:30" x14ac:dyDescent="0.25">
      <c r="A24" t="s">
        <v>10</v>
      </c>
      <c r="B24" t="s">
        <v>74</v>
      </c>
      <c r="C24" t="s">
        <v>68</v>
      </c>
      <c r="E24" s="9">
        <v>0.18421936911787179</v>
      </c>
      <c r="F24" s="9">
        <f>(4*E24+1*J24)/5</f>
        <v>0.16737549529429743</v>
      </c>
      <c r="G24" s="9">
        <f>(3*E24+2*J24)/5</f>
        <v>0.15053162147072308</v>
      </c>
      <c r="H24" s="9">
        <f>(2*E24+3*J24)/5</f>
        <v>0.13368774764714872</v>
      </c>
      <c r="I24" s="9">
        <f>(1*E24+4*J24)/5</f>
        <v>0.11684387382357438</v>
      </c>
      <c r="J24" s="9">
        <v>0.1</v>
      </c>
      <c r="K24" s="9">
        <f>(4*J24+1*O24)/5</f>
        <v>0.11684387382357438</v>
      </c>
      <c r="L24" s="9">
        <f>(3*J24+2*O24)/5</f>
        <v>0.13368774764714872</v>
      </c>
      <c r="M24" s="9">
        <f>(2*J24+3*O24)/5</f>
        <v>0.15053162147072308</v>
      </c>
      <c r="N24" s="9">
        <f>(1*J24+4*O24)/5</f>
        <v>0.16737549529429743</v>
      </c>
      <c r="O24" s="9">
        <v>0.18421936911787179</v>
      </c>
      <c r="P24" s="9">
        <f>(4*O24+1*T24)/5</f>
        <v>0.15937549529429745</v>
      </c>
      <c r="Q24" s="9">
        <f>(3*O24+2*T24)/5</f>
        <v>0.13453162147072309</v>
      </c>
      <c r="R24" s="9">
        <f>(2*O24+3*T24)/5</f>
        <v>0.10968774764714873</v>
      </c>
      <c r="S24" s="9">
        <f>(1*O24+4*T24)/5</f>
        <v>8.4843873823574362E-2</v>
      </c>
      <c r="T24" s="9">
        <v>0.06</v>
      </c>
      <c r="U24" s="9">
        <f>(4*T24+1*Y24)/5</f>
        <v>5.5999999999999994E-2</v>
      </c>
      <c r="V24" s="9">
        <f>(3*T24+2*Y24)/5</f>
        <v>5.2000000000000005E-2</v>
      </c>
      <c r="W24" s="9">
        <f>(2*T24+3*Y24)/5</f>
        <v>4.8000000000000001E-2</v>
      </c>
      <c r="X24" s="9">
        <f>(1*T24+4*Y24)/5</f>
        <v>4.3999999999999997E-2</v>
      </c>
      <c r="Y24" s="9">
        <v>0.04</v>
      </c>
      <c r="Z24" s="9">
        <f>(4*Y24+1*AD24)/5</f>
        <v>3.5999999999999997E-2</v>
      </c>
      <c r="AA24" s="9">
        <f>(3*Y24+2*AD24)/5</f>
        <v>3.2000000000000001E-2</v>
      </c>
      <c r="AB24" s="9">
        <f>(2*Y24+3*AD24)/5</f>
        <v>2.8000000000000004E-2</v>
      </c>
      <c r="AC24" s="9">
        <f>(1*Y24+4*AD24)/5</f>
        <v>2.4E-2</v>
      </c>
      <c r="AD24" s="9">
        <v>0.02</v>
      </c>
    </row>
    <row r="25" spans="1:30" x14ac:dyDescent="0.25">
      <c r="A25" t="s">
        <v>11</v>
      </c>
      <c r="B25" t="s">
        <v>75</v>
      </c>
      <c r="C25" t="s">
        <v>68</v>
      </c>
      <c r="E25" s="9">
        <v>2.900136489382258E-2</v>
      </c>
      <c r="F25" s="9">
        <f>(4*E25+1*J25)/5</f>
        <v>2.7201091915058061E-2</v>
      </c>
      <c r="G25" s="9">
        <f>(3*E25+2*J25)/5</f>
        <v>2.5400818936293552E-2</v>
      </c>
      <c r="H25" s="9">
        <f>(2*E25+3*J25)/5</f>
        <v>2.3600545957529032E-2</v>
      </c>
      <c r="I25" s="9">
        <f>(1*E25+4*J25)/5</f>
        <v>2.1800272978764516E-2</v>
      </c>
      <c r="J25" s="9">
        <v>0.02</v>
      </c>
      <c r="K25" s="9">
        <f>(4*J25+1*O25)/5</f>
        <v>2.1800272978764516E-2</v>
      </c>
      <c r="L25" s="9">
        <f>(3*J25+2*O25)/5</f>
        <v>2.3600545957529032E-2</v>
      </c>
      <c r="M25" s="9">
        <f>(2*J25+3*O25)/5</f>
        <v>2.5400818936293552E-2</v>
      </c>
      <c r="N25" s="9">
        <f>(1*J25+4*O25)/5</f>
        <v>2.7201091915058061E-2</v>
      </c>
      <c r="O25" s="9">
        <v>2.900136489382258E-2</v>
      </c>
      <c r="P25" s="9">
        <f>(4*O25+1*T25)/5</f>
        <v>2.5701091915058066E-2</v>
      </c>
      <c r="Q25" s="9">
        <f>(3*O25+2*T25)/5</f>
        <v>2.2400818936293549E-2</v>
      </c>
      <c r="R25" s="9">
        <f>(2*O25+3*T25)/5</f>
        <v>1.9100545957529032E-2</v>
      </c>
      <c r="S25" s="9">
        <f>(1*O25+4*T25)/5</f>
        <v>1.5800272978764518E-2</v>
      </c>
      <c r="T25" s="9">
        <v>1.2500000000000001E-2</v>
      </c>
      <c r="U25" s="9">
        <f>(4*T25+1*Y25)/5</f>
        <v>1.2E-2</v>
      </c>
      <c r="V25" s="9">
        <f>(3*T25+2*Y25)/5</f>
        <v>1.1500000000000002E-2</v>
      </c>
      <c r="W25" s="9">
        <f>(2*T25+3*Y25)/5</f>
        <v>1.0999999999999999E-2</v>
      </c>
      <c r="X25" s="9">
        <f>(1*T25+4*Y25)/5</f>
        <v>1.0500000000000001E-2</v>
      </c>
      <c r="Y25" s="9">
        <v>0.01</v>
      </c>
      <c r="Z25" s="9">
        <f>(4*Y25+1*AD25)/5</f>
        <v>9.4999999999999998E-3</v>
      </c>
      <c r="AA25" s="9">
        <f>(3*Y25+2*AD25)/5</f>
        <v>8.9999999999999993E-3</v>
      </c>
      <c r="AB25" s="9">
        <f>(2*Y25+3*AD25)/5</f>
        <v>8.4999999999999989E-3</v>
      </c>
      <c r="AC25" s="9">
        <f>(1*Y25+4*AD25)/5</f>
        <v>8.0000000000000002E-3</v>
      </c>
      <c r="AD25" s="9">
        <v>7.4999999999999997E-3</v>
      </c>
    </row>
    <row r="26" spans="1:30" x14ac:dyDescent="0.25">
      <c r="A26" t="s">
        <v>12</v>
      </c>
      <c r="B26" t="s">
        <v>76</v>
      </c>
      <c r="C26" t="s">
        <v>68</v>
      </c>
      <c r="E26" s="9">
        <v>3.365228316885367E-3</v>
      </c>
      <c r="F26" s="9">
        <f>(4*E26+1*J26)/5</f>
        <v>6.692182653508294E-3</v>
      </c>
      <c r="G26" s="9">
        <f>(3*E26+2*J26)/5</f>
        <v>1.0019136990131221E-2</v>
      </c>
      <c r="H26" s="9">
        <f>(2*E26+3*J26)/5</f>
        <v>1.3346091326754147E-2</v>
      </c>
      <c r="I26" s="9">
        <f>(1*E26+4*J26)/5</f>
        <v>1.6673045663377073E-2</v>
      </c>
      <c r="J26" s="9">
        <v>0.02</v>
      </c>
      <c r="K26" s="9">
        <f>(4*J26+1*O26)/5</f>
        <v>1.6673045663377073E-2</v>
      </c>
      <c r="L26" s="9">
        <f>(3*J26+2*O26)/5</f>
        <v>1.3346091326754147E-2</v>
      </c>
      <c r="M26" s="9">
        <f>(2*J26+3*O26)/5</f>
        <v>1.0019136990131221E-2</v>
      </c>
      <c r="N26" s="9">
        <f>(1*J26+4*O26)/5</f>
        <v>6.692182653508294E-3</v>
      </c>
      <c r="O26" s="9">
        <v>3.365228316885367E-3</v>
      </c>
      <c r="P26" s="9">
        <f>(4*O26+1*T26)/5</f>
        <v>8.1921826535082936E-3</v>
      </c>
      <c r="Q26" s="9">
        <f>(3*O26+2*T26)/5</f>
        <v>1.3019136990131219E-2</v>
      </c>
      <c r="R26" s="9">
        <f>(2*O26+3*T26)/5</f>
        <v>1.7846091326754149E-2</v>
      </c>
      <c r="S26" s="9">
        <f>(1*O26+4*T26)/5</f>
        <v>2.2673045663377071E-2</v>
      </c>
      <c r="T26" s="9">
        <v>2.75E-2</v>
      </c>
      <c r="U26" s="9">
        <f>(4*T26+1*Y26)/5</f>
        <v>2.8000000000000004E-2</v>
      </c>
      <c r="V26" s="9">
        <f>(3*T26+2*Y26)/5</f>
        <v>2.8500000000000004E-2</v>
      </c>
      <c r="W26" s="9">
        <f>(2*T26+3*Y26)/5</f>
        <v>2.8999999999999998E-2</v>
      </c>
      <c r="X26" s="9">
        <f>(1*T26+4*Y26)/5</f>
        <v>2.9499999999999998E-2</v>
      </c>
      <c r="Y26" s="9">
        <v>0.03</v>
      </c>
      <c r="Z26" s="9">
        <f>(4*Y26+1*AD26)/5</f>
        <v>3.1E-2</v>
      </c>
      <c r="AA26" s="9">
        <f>(3*Y26+2*AD26)/5</f>
        <v>3.2000000000000001E-2</v>
      </c>
      <c r="AB26" s="9">
        <f>(2*Y26+3*AD26)/5</f>
        <v>3.3000000000000002E-2</v>
      </c>
      <c r="AC26" s="9">
        <f>(1*Y26+4*AD26)/5</f>
        <v>3.4000000000000002E-2</v>
      </c>
      <c r="AD26" s="9">
        <v>3.5000000000000003E-2</v>
      </c>
    </row>
    <row r="27" spans="1:30" x14ac:dyDescent="0.25">
      <c r="A27" t="s">
        <v>13</v>
      </c>
      <c r="B27" t="s">
        <v>77</v>
      </c>
      <c r="C27" t="s">
        <v>68</v>
      </c>
      <c r="E27" s="9">
        <v>0.35574793972964969</v>
      </c>
      <c r="F27" s="9">
        <f>(4*E27+1*J27)/5</f>
        <v>0.35459835178371979</v>
      </c>
      <c r="G27" s="9">
        <f>(3*E27+2*J27)/5</f>
        <v>0.35344876383778978</v>
      </c>
      <c r="H27" s="9">
        <f>(2*E27+3*J27)/5</f>
        <v>0.35229917589185983</v>
      </c>
      <c r="I27" s="9">
        <f>(1*E27+4*J27)/5</f>
        <v>0.35114958794592993</v>
      </c>
      <c r="J27" s="9">
        <v>0.35</v>
      </c>
      <c r="K27" s="9">
        <f>(4*J27+1*O27)/5</f>
        <v>0.35114958794592993</v>
      </c>
      <c r="L27" s="9">
        <f>(3*J27+2*O27)/5</f>
        <v>0.35229917589185983</v>
      </c>
      <c r="M27" s="9">
        <f>(2*J27+3*O27)/5</f>
        <v>0.35344876383778978</v>
      </c>
      <c r="N27" s="9">
        <f>(1*J27+4*O27)/5</f>
        <v>0.35459835178371979</v>
      </c>
      <c r="O27" s="9">
        <v>0.35574793972964969</v>
      </c>
      <c r="P27" s="9">
        <f>(4*O27+1*T27)/5</f>
        <v>0.34959835178371973</v>
      </c>
      <c r="Q27" s="9">
        <f>(3*O27+2*T27)/5</f>
        <v>0.34344876383778977</v>
      </c>
      <c r="R27" s="9">
        <f>(2*O27+3*T27)/5</f>
        <v>0.33729917589185987</v>
      </c>
      <c r="S27" s="9">
        <f>(1*O27+4*T27)/5</f>
        <v>0.33114958794592997</v>
      </c>
      <c r="T27" s="9">
        <v>0.32500000000000001</v>
      </c>
      <c r="U27" s="9">
        <f>(4*T27+1*Y27)/5</f>
        <v>0.32</v>
      </c>
      <c r="V27" s="9">
        <f>(3*T27+2*Y27)/5</f>
        <v>0.31500000000000006</v>
      </c>
      <c r="W27" s="9">
        <f>(2*T27+3*Y27)/5</f>
        <v>0.30999999999999994</v>
      </c>
      <c r="X27" s="9">
        <f>(1*T27+4*Y27)/5</f>
        <v>0.30499999999999999</v>
      </c>
      <c r="Y27" s="9">
        <v>0.3</v>
      </c>
      <c r="Z27" s="9">
        <f>(4*Y27+1*AD27)/5</f>
        <v>0.28999999999999998</v>
      </c>
      <c r="AA27" s="9">
        <f>(3*Y27+2*AD27)/5</f>
        <v>0.27999999999999997</v>
      </c>
      <c r="AB27" s="9">
        <f>(2*Y27+3*AD27)/5</f>
        <v>0.27</v>
      </c>
      <c r="AC27" s="9">
        <f>(1*Y27+4*AD27)/5</f>
        <v>0.26</v>
      </c>
      <c r="AD27" s="9">
        <v>0.25</v>
      </c>
    </row>
    <row r="28" spans="1:30" x14ac:dyDescent="0.25">
      <c r="A28" t="s">
        <v>14</v>
      </c>
      <c r="B28" t="s">
        <v>78</v>
      </c>
      <c r="C28" t="s">
        <v>68</v>
      </c>
      <c r="E28" s="9">
        <v>0.42766609794177057</v>
      </c>
      <c r="F28" s="9">
        <f>(4*E28+1*J28)/5</f>
        <v>0.44413287835341642</v>
      </c>
      <c r="G28" s="9">
        <f>(3*E28+2*J28)/5</f>
        <v>0.46059965876506237</v>
      </c>
      <c r="H28" s="9">
        <f>(2*E28+3*J28)/5</f>
        <v>0.47706643917670827</v>
      </c>
      <c r="I28" s="9">
        <f>(1*E28+4*J28)/5</f>
        <v>0.49353321958835411</v>
      </c>
      <c r="J28" s="9">
        <f>1-SUM(J24:J27)</f>
        <v>0.51</v>
      </c>
      <c r="K28" s="9">
        <f>(4*J28+1*O28)/5</f>
        <v>0.49353321958835411</v>
      </c>
      <c r="L28" s="9">
        <f>(3*J28+2*O28)/5</f>
        <v>0.47706643917670827</v>
      </c>
      <c r="M28" s="9">
        <f>(2*J28+3*O28)/5</f>
        <v>0.46059965876506237</v>
      </c>
      <c r="N28" s="9">
        <f>(1*J28+4*O28)/5</f>
        <v>0.44413287835341642</v>
      </c>
      <c r="O28" s="9">
        <v>0.42766609794177057</v>
      </c>
      <c r="P28" s="9">
        <f>(4*O28+1*T28)/5</f>
        <v>0.45713287835341648</v>
      </c>
      <c r="Q28" s="9">
        <f>(3*O28+2*T28)/5</f>
        <v>0.48659965876506234</v>
      </c>
      <c r="R28" s="9">
        <f>(2*O28+3*T28)/5</f>
        <v>0.51606643917670814</v>
      </c>
      <c r="S28" s="9">
        <f>(1*O28+4*T28)/5</f>
        <v>0.5455332195883541</v>
      </c>
      <c r="T28" s="9">
        <f>1-SUM(T24:T27)</f>
        <v>0.57499999999999996</v>
      </c>
      <c r="U28" s="9">
        <f>(4*T28+1*Y28)/5</f>
        <v>0.58399999999999996</v>
      </c>
      <c r="V28" s="9">
        <f>(3*T28+2*Y28)/5</f>
        <v>0.59299999999999997</v>
      </c>
      <c r="W28" s="9">
        <f>(2*T28+3*Y28)/5</f>
        <v>0.60199999999999998</v>
      </c>
      <c r="X28" s="9">
        <f>(1*T28+4*Y28)/5</f>
        <v>0.61099999999999999</v>
      </c>
      <c r="Y28" s="9">
        <f>1-SUM(Y24:Y27)</f>
        <v>0.62</v>
      </c>
      <c r="Z28" s="9">
        <f>(4*Y28+1*AD28)/5</f>
        <v>0.63349999999999995</v>
      </c>
      <c r="AA28" s="9">
        <f>(3*Y28+2*AD28)/5</f>
        <v>0.64700000000000002</v>
      </c>
      <c r="AB28" s="9">
        <f>(2*Y28+3*AD28)/5</f>
        <v>0.66050000000000009</v>
      </c>
      <c r="AC28" s="9">
        <f>(1*Y28+4*AD28)/5</f>
        <v>0.67400000000000004</v>
      </c>
      <c r="AD28" s="9">
        <f>1-SUM(AD24:AD27)</f>
        <v>0.6875</v>
      </c>
    </row>
    <row r="39" spans="1:30" x14ac:dyDescent="0.25">
      <c r="A39" s="4" t="s">
        <v>15</v>
      </c>
      <c r="B39" s="4"/>
      <c r="C39" s="4"/>
      <c r="D39" s="4" t="s">
        <v>2</v>
      </c>
      <c r="E39" s="10">
        <v>2025</v>
      </c>
      <c r="F39" s="10">
        <v>2026</v>
      </c>
      <c r="G39" s="10">
        <v>2027</v>
      </c>
      <c r="H39" s="10">
        <v>2028</v>
      </c>
      <c r="I39" s="10">
        <v>2029</v>
      </c>
      <c r="J39" s="10">
        <v>2030</v>
      </c>
      <c r="K39" s="10">
        <v>2031</v>
      </c>
      <c r="L39" s="10">
        <v>2032</v>
      </c>
      <c r="M39" s="10">
        <v>2033</v>
      </c>
      <c r="N39" s="10">
        <v>2034</v>
      </c>
      <c r="O39" s="10">
        <v>2035</v>
      </c>
      <c r="P39" s="10">
        <v>2036</v>
      </c>
      <c r="Q39" s="10">
        <v>2037</v>
      </c>
      <c r="R39" s="10">
        <v>2038</v>
      </c>
      <c r="S39" s="10">
        <v>2039</v>
      </c>
      <c r="T39" s="10">
        <v>2040</v>
      </c>
      <c r="U39" s="10">
        <v>2041</v>
      </c>
      <c r="V39" s="10">
        <v>2042</v>
      </c>
      <c r="W39" s="10">
        <v>2043</v>
      </c>
      <c r="X39" s="10">
        <v>2044</v>
      </c>
      <c r="Y39" s="10">
        <v>2045</v>
      </c>
      <c r="Z39" s="10">
        <v>2046</v>
      </c>
      <c r="AA39" s="10">
        <v>2047</v>
      </c>
      <c r="AB39" s="10">
        <v>2048</v>
      </c>
      <c r="AC39" s="10">
        <v>2049</v>
      </c>
      <c r="AD39" s="10">
        <v>2050</v>
      </c>
    </row>
    <row r="40" spans="1:30" x14ac:dyDescent="0.25">
      <c r="A40" s="5" t="s">
        <v>16</v>
      </c>
      <c r="B40" s="5" t="s">
        <v>79</v>
      </c>
      <c r="C40" s="5" t="s">
        <v>80</v>
      </c>
      <c r="D40" s="5"/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  <c r="M40" s="9">
        <v>1</v>
      </c>
      <c r="N40" s="9">
        <v>1</v>
      </c>
      <c r="O40" s="9">
        <v>1</v>
      </c>
      <c r="P40" s="9">
        <v>1</v>
      </c>
      <c r="Q40" s="9">
        <v>1</v>
      </c>
      <c r="R40" s="9">
        <v>1</v>
      </c>
      <c r="S40" s="9">
        <v>1</v>
      </c>
      <c r="T40" s="9">
        <v>1</v>
      </c>
      <c r="U40" s="9">
        <v>1</v>
      </c>
      <c r="V40" s="9">
        <v>1</v>
      </c>
      <c r="W40" s="9">
        <v>1</v>
      </c>
      <c r="X40" s="9">
        <v>1</v>
      </c>
      <c r="Y40" s="9">
        <v>1</v>
      </c>
      <c r="Z40" s="9">
        <v>1</v>
      </c>
      <c r="AA40" s="9">
        <v>1</v>
      </c>
      <c r="AB40" s="9">
        <v>1</v>
      </c>
      <c r="AC40" s="9">
        <v>1</v>
      </c>
      <c r="AD40" s="9">
        <v>1</v>
      </c>
    </row>
    <row r="41" spans="1:30" x14ac:dyDescent="0.25">
      <c r="A41" s="5" t="s">
        <v>17</v>
      </c>
      <c r="B41" s="5" t="s">
        <v>81</v>
      </c>
      <c r="C41" s="5" t="s">
        <v>80</v>
      </c>
      <c r="D41" s="5"/>
      <c r="E41" s="9">
        <v>1</v>
      </c>
      <c r="F41" s="9">
        <v>1.05</v>
      </c>
      <c r="G41" s="9">
        <v>1.0814999999999999</v>
      </c>
      <c r="H41" s="9">
        <v>1.1031299999999999</v>
      </c>
      <c r="I41" s="9">
        <v>1.1141612999999999</v>
      </c>
      <c r="J41" s="9">
        <v>1.1141612999999999</v>
      </c>
      <c r="K41" s="9">
        <v>1.103019687</v>
      </c>
      <c r="L41" s="9">
        <v>1.0809592932600001</v>
      </c>
      <c r="M41" s="9">
        <v>1.0485305144621999</v>
      </c>
      <c r="N41" s="9">
        <v>1.006589293883712</v>
      </c>
      <c r="O41" s="9">
        <v>0.95625982918952668</v>
      </c>
      <c r="P41" s="9">
        <v>0.8988842394381551</v>
      </c>
      <c r="Q41" s="9">
        <v>0.83596234267748426</v>
      </c>
      <c r="R41" s="9">
        <v>0.76908535526328559</v>
      </c>
      <c r="S41" s="9">
        <v>0.69986767328958988</v>
      </c>
      <c r="T41" s="9">
        <v>0.62988090596063095</v>
      </c>
      <c r="U41" s="9">
        <v>0.56059400630496159</v>
      </c>
      <c r="V41" s="9">
        <v>0.4933227255483662</v>
      </c>
      <c r="W41" s="9">
        <v>0.42919077122707872</v>
      </c>
      <c r="X41" s="9">
        <v>0.36910406325528772</v>
      </c>
      <c r="Y41" s="9">
        <v>0.31373845376699461</v>
      </c>
      <c r="Z41" s="9">
        <v>0.26354030116427551</v>
      </c>
      <c r="AA41" s="9">
        <v>0.25</v>
      </c>
      <c r="AB41" s="9">
        <v>0.25</v>
      </c>
      <c r="AC41" s="9">
        <v>0.25</v>
      </c>
      <c r="AD41" s="9">
        <v>0.25</v>
      </c>
    </row>
    <row r="42" spans="1:30" x14ac:dyDescent="0.25">
      <c r="A42" s="5" t="s">
        <v>18</v>
      </c>
      <c r="B42" s="5" t="s">
        <v>82</v>
      </c>
      <c r="C42" s="5" t="s">
        <v>80</v>
      </c>
      <c r="D42" s="5"/>
      <c r="E42" s="9">
        <v>1</v>
      </c>
      <c r="F42" s="9">
        <v>1</v>
      </c>
      <c r="G42" s="9">
        <v>1</v>
      </c>
      <c r="H42" s="9">
        <v>1</v>
      </c>
      <c r="I42" s="9">
        <v>1</v>
      </c>
      <c r="J42" s="9">
        <v>1</v>
      </c>
      <c r="K42" s="9">
        <v>1</v>
      </c>
      <c r="L42" s="9">
        <v>1</v>
      </c>
      <c r="M42" s="9">
        <v>1</v>
      </c>
      <c r="N42" s="9">
        <v>1</v>
      </c>
      <c r="O42" s="9">
        <v>1</v>
      </c>
      <c r="P42" s="9">
        <v>1</v>
      </c>
      <c r="Q42" s="9">
        <v>1</v>
      </c>
      <c r="R42" s="9">
        <v>1</v>
      </c>
      <c r="S42" s="9">
        <v>1</v>
      </c>
      <c r="T42" s="9">
        <v>1</v>
      </c>
      <c r="U42" s="9">
        <v>1</v>
      </c>
      <c r="V42" s="9">
        <v>1</v>
      </c>
      <c r="W42" s="9">
        <v>1</v>
      </c>
      <c r="X42" s="9">
        <v>1</v>
      </c>
      <c r="Y42" s="9">
        <v>1</v>
      </c>
      <c r="Z42" s="9">
        <v>1</v>
      </c>
      <c r="AA42" s="9">
        <v>1</v>
      </c>
      <c r="AB42" s="9">
        <v>1</v>
      </c>
      <c r="AC42" s="9">
        <v>1</v>
      </c>
      <c r="AD42" s="9">
        <v>1</v>
      </c>
    </row>
    <row r="43" spans="1:30" x14ac:dyDescent="0.25">
      <c r="A43" s="5" t="s">
        <v>19</v>
      </c>
      <c r="B43" s="5" t="s">
        <v>83</v>
      </c>
      <c r="C43" s="5" t="s">
        <v>80</v>
      </c>
      <c r="D43" s="5"/>
      <c r="E43" s="9">
        <v>1</v>
      </c>
      <c r="F43" s="9">
        <v>1</v>
      </c>
      <c r="G43" s="9">
        <v>1</v>
      </c>
      <c r="H43" s="9">
        <v>1</v>
      </c>
      <c r="I43" s="9">
        <v>1</v>
      </c>
      <c r="J43" s="9">
        <v>1</v>
      </c>
      <c r="K43" s="9">
        <v>1</v>
      </c>
      <c r="L43" s="9">
        <v>1</v>
      </c>
      <c r="M43" s="9">
        <v>1</v>
      </c>
      <c r="N43" s="9">
        <v>1</v>
      </c>
      <c r="O43" s="9">
        <v>1</v>
      </c>
      <c r="P43" s="9">
        <v>1</v>
      </c>
      <c r="Q43" s="9">
        <v>1</v>
      </c>
      <c r="R43" s="9">
        <v>1</v>
      </c>
      <c r="S43" s="9">
        <v>1</v>
      </c>
      <c r="T43" s="9">
        <v>1</v>
      </c>
      <c r="U43" s="9">
        <v>1</v>
      </c>
      <c r="V43" s="9">
        <v>1</v>
      </c>
      <c r="W43" s="9">
        <v>1</v>
      </c>
      <c r="X43" s="9">
        <v>1</v>
      </c>
      <c r="Y43" s="9">
        <v>1</v>
      </c>
      <c r="Z43" s="9">
        <v>1</v>
      </c>
      <c r="AA43" s="9">
        <v>1</v>
      </c>
      <c r="AB43" s="9">
        <v>1</v>
      </c>
      <c r="AC43" s="9">
        <v>1</v>
      </c>
      <c r="AD43" s="9">
        <v>1</v>
      </c>
    </row>
    <row r="44" spans="1:30" x14ac:dyDescent="0.25">
      <c r="A44" s="5" t="s">
        <v>20</v>
      </c>
      <c r="B44" s="5" t="s">
        <v>84</v>
      </c>
      <c r="C44" s="5" t="s">
        <v>80</v>
      </c>
      <c r="D44" s="5"/>
      <c r="E44" s="9">
        <v>1</v>
      </c>
      <c r="F44" s="9">
        <v>1</v>
      </c>
      <c r="G44" s="9">
        <v>1</v>
      </c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9">
        <v>1</v>
      </c>
      <c r="N44" s="9">
        <v>1</v>
      </c>
      <c r="O44" s="9">
        <v>1</v>
      </c>
      <c r="P44" s="9">
        <v>1</v>
      </c>
      <c r="Q44" s="9">
        <v>1</v>
      </c>
      <c r="R44" s="9">
        <v>1</v>
      </c>
      <c r="S44" s="9">
        <v>1</v>
      </c>
      <c r="T44" s="9">
        <v>1</v>
      </c>
      <c r="U44" s="9">
        <v>1</v>
      </c>
      <c r="V44" s="9">
        <v>1</v>
      </c>
      <c r="W44" s="9">
        <v>1</v>
      </c>
      <c r="X44" s="9">
        <v>1</v>
      </c>
      <c r="Y44" s="9">
        <v>1</v>
      </c>
      <c r="Z44" s="9">
        <v>1</v>
      </c>
      <c r="AA44" s="9">
        <v>1</v>
      </c>
      <c r="AB44" s="9">
        <v>1</v>
      </c>
      <c r="AC44" s="9">
        <v>1</v>
      </c>
      <c r="AD44" s="9">
        <v>1</v>
      </c>
    </row>
    <row r="46" spans="1:30" x14ac:dyDescent="0.25">
      <c r="A46" s="5" t="s">
        <v>21</v>
      </c>
      <c r="B46" s="5" t="s">
        <v>85</v>
      </c>
      <c r="C46" s="5" t="s">
        <v>80</v>
      </c>
      <c r="D46" s="5"/>
      <c r="E46" s="9">
        <v>1</v>
      </c>
      <c r="F46" s="9">
        <v>1</v>
      </c>
      <c r="G46" s="9">
        <v>1</v>
      </c>
      <c r="H46" s="9">
        <v>1</v>
      </c>
      <c r="I46" s="9">
        <v>1</v>
      </c>
      <c r="J46" s="9">
        <v>1</v>
      </c>
      <c r="K46" s="9">
        <v>1</v>
      </c>
      <c r="L46" s="9">
        <v>1</v>
      </c>
      <c r="M46" s="9">
        <v>1</v>
      </c>
      <c r="N46" s="9">
        <v>1</v>
      </c>
      <c r="O46" s="9">
        <v>0.96969278258768077</v>
      </c>
      <c r="P46" s="9">
        <v>0.93435276544696289</v>
      </c>
      <c r="Q46" s="9">
        <v>0.89454181122124277</v>
      </c>
      <c r="R46" s="9">
        <v>0.85088984558924374</v>
      </c>
      <c r="S46" s="9">
        <v>0.80407799354565135</v>
      </c>
      <c r="T46" s="9">
        <v>0.75482049195281808</v>
      </c>
      <c r="U46" s="9">
        <v>0.7038460633423701</v>
      </c>
      <c r="V46" s="9">
        <v>0.65187944812494381</v>
      </c>
      <c r="W46" s="9">
        <v>0.59962377022743907</v>
      </c>
      <c r="X46" s="9">
        <v>0.54774435634229945</v>
      </c>
      <c r="Y46" s="9">
        <v>0.49685454505582571</v>
      </c>
      <c r="Z46" s="9">
        <v>0.44750391446796312</v>
      </c>
      <c r="AA46" s="9">
        <v>0.43356340767881918</v>
      </c>
      <c r="AB46" s="9">
        <v>0.43356340767881918</v>
      </c>
      <c r="AC46" s="9">
        <v>0.43356340767881918</v>
      </c>
      <c r="AD46" s="9">
        <v>0.43356340767881918</v>
      </c>
    </row>
    <row r="47" spans="1:30" x14ac:dyDescent="0.25">
      <c r="A47" s="5" t="s">
        <v>22</v>
      </c>
      <c r="B47" s="5" t="s">
        <v>86</v>
      </c>
      <c r="C47" s="5" t="s">
        <v>80</v>
      </c>
      <c r="D47" s="5"/>
      <c r="E47" s="9">
        <v>1</v>
      </c>
      <c r="F47" s="9">
        <v>1</v>
      </c>
      <c r="G47" s="9">
        <v>1</v>
      </c>
      <c r="H47" s="9">
        <v>1</v>
      </c>
      <c r="I47" s="9">
        <v>1</v>
      </c>
      <c r="J47" s="9">
        <v>1</v>
      </c>
      <c r="K47" s="9">
        <v>1E-3</v>
      </c>
      <c r="L47" s="9">
        <v>1E-3</v>
      </c>
      <c r="M47" s="9">
        <v>1E-3</v>
      </c>
      <c r="N47" s="9">
        <v>1E-3</v>
      </c>
      <c r="O47" s="9">
        <v>1E-3</v>
      </c>
      <c r="P47" s="9">
        <v>1E-3</v>
      </c>
      <c r="Q47" s="9">
        <v>1E-3</v>
      </c>
      <c r="R47" s="9">
        <v>1E-3</v>
      </c>
      <c r="S47" s="9">
        <v>1E-3</v>
      </c>
      <c r="T47" s="9">
        <v>1E-3</v>
      </c>
      <c r="U47" s="9">
        <v>1E-3</v>
      </c>
      <c r="V47" s="9">
        <v>1E-3</v>
      </c>
      <c r="W47" s="9">
        <v>1E-3</v>
      </c>
      <c r="X47" s="9">
        <v>1E-3</v>
      </c>
      <c r="Y47" s="9">
        <v>1E-3</v>
      </c>
      <c r="Z47" s="9">
        <v>1E-3</v>
      </c>
      <c r="AA47" s="9">
        <v>1E-3</v>
      </c>
      <c r="AB47" s="9">
        <v>1E-3</v>
      </c>
      <c r="AC47" s="9">
        <v>1E-3</v>
      </c>
      <c r="AD47" s="9">
        <v>1E-3</v>
      </c>
    </row>
    <row r="50" spans="1:30" x14ac:dyDescent="0.25">
      <c r="A50" s="4" t="s">
        <v>23</v>
      </c>
      <c r="B50" s="4"/>
      <c r="C50" s="4"/>
      <c r="D50" s="4" t="s">
        <v>2</v>
      </c>
      <c r="E50" s="10">
        <v>2025</v>
      </c>
      <c r="F50" s="10">
        <v>2026</v>
      </c>
      <c r="G50" s="10">
        <v>2027</v>
      </c>
      <c r="H50" s="10">
        <v>2028</v>
      </c>
      <c r="I50" s="10">
        <v>2029</v>
      </c>
      <c r="J50" s="10">
        <v>2030</v>
      </c>
      <c r="K50" s="10">
        <v>2031</v>
      </c>
      <c r="L50" s="10">
        <v>2032</v>
      </c>
      <c r="M50" s="10">
        <v>2033</v>
      </c>
      <c r="N50" s="10">
        <v>2034</v>
      </c>
      <c r="O50" s="10">
        <v>2035</v>
      </c>
      <c r="P50" s="10">
        <v>2036</v>
      </c>
      <c r="Q50" s="10">
        <v>2037</v>
      </c>
      <c r="R50" s="10">
        <v>2038</v>
      </c>
      <c r="S50" s="10">
        <v>2039</v>
      </c>
      <c r="T50" s="10">
        <v>2040</v>
      </c>
      <c r="U50" s="10">
        <v>2041</v>
      </c>
      <c r="V50" s="10">
        <v>2042</v>
      </c>
      <c r="W50" s="10">
        <v>2043</v>
      </c>
      <c r="X50" s="10">
        <v>2044</v>
      </c>
      <c r="Y50" s="10">
        <v>2045</v>
      </c>
      <c r="Z50" s="10">
        <v>2046</v>
      </c>
      <c r="AA50" s="10">
        <v>2047</v>
      </c>
      <c r="AB50" s="10">
        <v>2048</v>
      </c>
      <c r="AC50" s="10">
        <v>2049</v>
      </c>
      <c r="AD50" s="10">
        <v>2050</v>
      </c>
    </row>
    <row r="51" spans="1:30" x14ac:dyDescent="0.25">
      <c r="A51" s="5" t="s">
        <v>24</v>
      </c>
      <c r="B51" s="5" t="s">
        <v>87</v>
      </c>
      <c r="C51" s="5" t="s">
        <v>80</v>
      </c>
      <c r="D51" s="5"/>
      <c r="E51" s="9">
        <v>1</v>
      </c>
      <c r="F51" s="9">
        <v>1</v>
      </c>
      <c r="G51" s="9">
        <v>1</v>
      </c>
      <c r="H51" s="9">
        <v>1</v>
      </c>
      <c r="I51" s="9">
        <v>1</v>
      </c>
      <c r="J51" s="9">
        <v>1</v>
      </c>
      <c r="K51" s="9">
        <v>1</v>
      </c>
      <c r="L51" s="9">
        <v>1</v>
      </c>
      <c r="M51" s="9">
        <v>1</v>
      </c>
      <c r="N51" s="9">
        <v>1</v>
      </c>
      <c r="O51" s="9">
        <v>1</v>
      </c>
      <c r="P51" s="9">
        <v>1</v>
      </c>
      <c r="Q51" s="9">
        <v>1</v>
      </c>
      <c r="R51" s="9">
        <v>1</v>
      </c>
      <c r="S51" s="9">
        <v>1</v>
      </c>
      <c r="T51" s="9">
        <v>1</v>
      </c>
      <c r="U51" s="9">
        <v>1</v>
      </c>
      <c r="V51" s="9">
        <v>1</v>
      </c>
      <c r="W51" s="9">
        <v>1</v>
      </c>
      <c r="X51" s="9">
        <v>1</v>
      </c>
      <c r="Y51" s="9">
        <v>1</v>
      </c>
      <c r="Z51" s="9">
        <v>1</v>
      </c>
      <c r="AA51" s="9">
        <v>1</v>
      </c>
      <c r="AB51" s="9">
        <v>1</v>
      </c>
      <c r="AC51" s="9">
        <v>1</v>
      </c>
      <c r="AD51" s="9">
        <v>1</v>
      </c>
    </row>
    <row r="52" spans="1:30" x14ac:dyDescent="0.25">
      <c r="A52" s="5" t="s">
        <v>25</v>
      </c>
      <c r="B52" s="5" t="s">
        <v>88</v>
      </c>
      <c r="C52" s="5" t="s">
        <v>80</v>
      </c>
      <c r="D52" s="5"/>
      <c r="E52" s="9">
        <v>1</v>
      </c>
      <c r="F52" s="9">
        <f>E52*(1-0.025) + E58/0.0125*PRODUCT($E$10:F$10) * 0.025*2</f>
        <v>1.1480651856744186</v>
      </c>
      <c r="G52" s="9">
        <f>F52*(1-0.025) + F58/0.0125*PRODUCT($E$10:G$10) * 0.025*2</f>
        <v>1.4348847443572641</v>
      </c>
      <c r="H52" s="9">
        <f>G52*(1-0.025) + G58/0.0125*PRODUCT($E$10:H$10) * 0.025*2</f>
        <v>1.7393561177651864</v>
      </c>
      <c r="I52" s="9">
        <f>H52*(1-0.025) + H58/0.0125*PRODUCT($E$10:I$10) * 0.025*2</f>
        <v>2.0610380105300585</v>
      </c>
      <c r="J52" s="9">
        <f>I52*(1-0.025) + I58/0.0125*PRODUCT($E$10:J$10) * 0.025*2</f>
        <v>2.3995001596679568</v>
      </c>
      <c r="K52" s="9">
        <f>J52*(1-0.025) + J58/0.0125*PRODUCT($E$10:K$10) * 0.025*2</f>
        <v>2.7302948822083426</v>
      </c>
      <c r="L52" s="9">
        <f>K52*(1-0.025) + K58/0.0125*PRODUCT($E$10:L$10) * 0.025*2</f>
        <v>2.9773624019168627</v>
      </c>
      <c r="M52" s="9">
        <f>L52*(1-0.025) + L58/0.0125*PRODUCT($E$10:M$10) * 0.025*2</f>
        <v>3.2267971497143129</v>
      </c>
      <c r="N52" s="9">
        <f>M52*(1-0.025) + M58/0.0125*PRODUCT($E$10:N$10) * 0.025*2</f>
        <v>3.4785399448984702</v>
      </c>
      <c r="O52" s="9">
        <f>N52*(1-0.025) + N58/0.0125*PRODUCT($E$10:O$10) * 0.025*2</f>
        <v>3.7325330862846662</v>
      </c>
      <c r="P52" s="9">
        <f>O52*(1-0.025) + O58/0.0125*PRODUCT($E$10:P$10) * 0.025*2</f>
        <v>3.9887203152178516</v>
      </c>
      <c r="Q52" s="9">
        <f>P52*(1-0.025) + P58/0.0125*PRODUCT($E$10:Q$10) * 0.025*2</f>
        <v>4.2470467795093496</v>
      </c>
      <c r="R52" s="9">
        <f>Q52*(1-0.025) + Q58/0.0125*PRODUCT($E$10:R$10) * 0.025*2</f>
        <v>4.5074589982752045</v>
      </c>
      <c r="S52" s="9">
        <f>R52*(1-0.025) + R58/0.0125*PRODUCT($E$10:S$10) * 0.025*2</f>
        <v>4.7699048276535558</v>
      </c>
      <c r="T52" s="9">
        <f>S52*(1-0.025) + S58/0.0125*PRODUCT($E$10:T$10) * 0.025*2</f>
        <v>5.0343334273790923</v>
      </c>
      <c r="U52" s="9">
        <f>T52*(1-0.025) + T58/0.0125*PRODUCT($E$10:U$10) * 0.025*2</f>
        <v>5.3006952281931321</v>
      </c>
      <c r="V52" s="9">
        <f>U52*(1-0.025) + U58/0.0125*PRODUCT($E$10:V$10) * 0.025*2</f>
        <v>5.5689419000684648</v>
      </c>
      <c r="W52" s="9">
        <f>V52*(1-0.025) + V58/0.0125*PRODUCT($E$10:W$10) * 0.025*2</f>
        <v>5.8390263212285571</v>
      </c>
      <c r="X52" s="9">
        <f>W52*(1-0.025) + W58/0.0125*PRODUCT($E$10:X$10) * 0.025*2</f>
        <v>6.1109025479412908</v>
      </c>
      <c r="Y52" s="9">
        <f>X52*(1-0.025) + X58/0.0125*PRODUCT($E$10:Y$10) * 0.025*2</f>
        <v>6.3845257850678498</v>
      </c>
      <c r="Z52" s="9">
        <f>Y52*(1-0.025) + Y58/0.0125*PRODUCT($E$10:Z$10) * 0.025*2</f>
        <v>6.6598523573478881</v>
      </c>
      <c r="AA52" s="9">
        <f>Z52*(1-0.025) + Z58/0.0125*PRODUCT($E$10:AA$10) * 0.025*2</f>
        <v>6.9368396814025681</v>
      </c>
      <c r="AB52" s="9">
        <f>AA52*(1-0.025) + AA58/0.0125*PRODUCT($E$10:AB$10) * 0.025*2</f>
        <v>7.2154462384375257</v>
      </c>
      <c r="AC52" s="9">
        <f>AB52*(1-0.025) + AB58/0.0125*PRODUCT($E$10:AC$10) * 0.025*2</f>
        <v>7.4956315476282525</v>
      </c>
      <c r="AD52" s="9">
        <f>AC52*(1-0.025) + AC58/0.0125*PRODUCT($E$10:AD$10) * 0.025*2</f>
        <v>7.7773561401708546</v>
      </c>
    </row>
    <row r="53" spans="1:30" x14ac:dyDescent="0.25">
      <c r="A53" s="5" t="s">
        <v>26</v>
      </c>
      <c r="B53" s="5" t="s">
        <v>89</v>
      </c>
      <c r="C53" s="5" t="s">
        <v>80</v>
      </c>
      <c r="D53" s="5"/>
      <c r="E53" s="9">
        <v>1</v>
      </c>
      <c r="F53" s="9">
        <f>E53*(1-0.05) + E59/0.0075*PRODUCT($E$10:F$10)*0.05</f>
        <v>1.0326267541085272</v>
      </c>
      <c r="G53" s="9">
        <f>F53*(1-0.05) + F59/0.0075*PRODUCT($E$10:G$10)*0.05</f>
        <v>1.8237460681531648</v>
      </c>
      <c r="H53" s="9">
        <f>G53*(1-0.05) + G59/0.0075*PRODUCT($E$10:H$10)*0.05</f>
        <v>2.5988831034152104</v>
      </c>
      <c r="I53" s="9">
        <f>H53*(1-0.05) + H59/0.0075*PRODUCT($E$10:I$10)*0.05</f>
        <v>3.3588369738337938</v>
      </c>
      <c r="J53" s="9">
        <f>I53*(1-0.05) + I59/0.0075*PRODUCT($E$10:J$10)*0.05</f>
        <v>4.1043668376510887</v>
      </c>
      <c r="K53" s="9">
        <f>J53*(1-0.05) + J59/0.0075*PRODUCT($E$10:K$10)*0.05</f>
        <v>4.6801745207599836</v>
      </c>
      <c r="L53" s="9">
        <f>K53*(1-0.05) + K59/0.0075*PRODUCT($E$10:L$10)*0.05</f>
        <v>5.2035836182567881</v>
      </c>
      <c r="M53" s="9">
        <f>L53*(1-0.05) + L59/0.0075*PRODUCT($E$10:M$10)*0.05</f>
        <v>5.7212439556154502</v>
      </c>
      <c r="N53" s="9">
        <f>M53*(1-0.05) + M59/0.0075*PRODUCT($E$10:N$10)*0.05</f>
        <v>6.2334429708428774</v>
      </c>
      <c r="O53" s="9">
        <f>N53*(1-0.05) + N59/0.0075*PRODUCT($E$10:O$10)*0.05</f>
        <v>6.7404537300456298</v>
      </c>
      <c r="P53" s="9">
        <f>O53*(1-0.05) + O59/0.0075*PRODUCT($E$10:P$10)*0.05</f>
        <v>7.242535646024943</v>
      </c>
      <c r="Q53" s="9">
        <f>P53*(1-0.05) + P59/0.0075*PRODUCT($E$10:Q$10)*0.05</f>
        <v>7.7335509315163655</v>
      </c>
      <c r="R53" s="9">
        <f>Q53*(1-0.05) + Q59/0.0075*PRODUCT($E$10:R$10)*0.05</f>
        <v>8.2204371474699141</v>
      </c>
      <c r="S53" s="9">
        <f>R53*(1-0.05) + R59/0.0075*PRODUCT($E$10:S$10)*0.05</f>
        <v>8.7034007473624833</v>
      </c>
      <c r="T53" s="9">
        <f>S53*(1-0.05) + S59/0.0075*PRODUCT($E$10:T$10)*0.05</f>
        <v>9.1826378619971223</v>
      </c>
      <c r="U53" s="9">
        <f>T53*(1-0.05) + T59/0.0075*PRODUCT($E$10:U$10)*0.05</f>
        <v>9.6085147999700595</v>
      </c>
      <c r="V53" s="9">
        <f>U53*(1-0.05) + U59/0.0075*PRODUCT($E$10:V$10)*0.05</f>
        <v>10.033519585781047</v>
      </c>
      <c r="W53" s="9">
        <f>V53*(1-0.05) + V59/0.0075*PRODUCT($E$10:W$10)*0.05</f>
        <v>10.457695827038183</v>
      </c>
      <c r="X53" s="9">
        <f>W53*(1-0.05) + W59/0.0075*PRODUCT($E$10:X$10)*0.05</f>
        <v>10.881084950969159</v>
      </c>
      <c r="Y53" s="9">
        <f>X53*(1-0.05) + X59/0.0075*PRODUCT($E$10:Y$10)*0.05</f>
        <v>11.303726313440283</v>
      </c>
      <c r="Z53" s="9">
        <f>Y53*(1-0.05) + Y59/0.0075*PRODUCT($E$10:Z$10)*0.05</f>
        <v>11.725657302524548</v>
      </c>
      <c r="AA53" s="9">
        <f>Z53*(1-0.05) + Z59/0.0075*PRODUCT($E$10:AA$10)*0.05</f>
        <v>12.146913436891301</v>
      </c>
      <c r="AB53" s="9">
        <f>AA53*(1-0.05) + AA59/0.0075*PRODUCT($E$10:AB$10)*0.05</f>
        <v>12.567528459276414</v>
      </c>
      <c r="AC53" s="9">
        <f>AB53*(1-0.05) + AB59/0.0075*PRODUCT($E$10:AC$10)*0.05</f>
        <v>12.987534425278968</v>
      </c>
      <c r="AD53" s="9">
        <f>AC53*(1-0.05) + AC59/0.0075*PRODUCT($E$10:AD$10)*0.05</f>
        <v>13.406961787718092</v>
      </c>
    </row>
    <row r="54" spans="1:30" x14ac:dyDescent="0.25">
      <c r="A54" s="5" t="s">
        <v>27</v>
      </c>
      <c r="B54" s="5" t="s">
        <v>90</v>
      </c>
      <c r="C54" s="5" t="s">
        <v>80</v>
      </c>
      <c r="D54" s="5"/>
      <c r="E54" s="9">
        <v>1</v>
      </c>
      <c r="F54" s="9">
        <v>1</v>
      </c>
      <c r="G54" s="9">
        <v>1</v>
      </c>
      <c r="H54" s="9">
        <v>1</v>
      </c>
      <c r="I54" s="9">
        <v>1</v>
      </c>
      <c r="J54" s="9">
        <v>1</v>
      </c>
      <c r="K54" s="9">
        <v>1</v>
      </c>
      <c r="L54" s="9">
        <v>1</v>
      </c>
      <c r="M54" s="9">
        <v>1</v>
      </c>
      <c r="N54" s="9">
        <v>1</v>
      </c>
      <c r="O54" s="9">
        <v>1</v>
      </c>
      <c r="P54" s="9">
        <v>1</v>
      </c>
      <c r="Q54" s="9">
        <v>1</v>
      </c>
      <c r="R54" s="9">
        <v>1</v>
      </c>
      <c r="S54" s="9">
        <v>1</v>
      </c>
      <c r="T54" s="9">
        <v>1</v>
      </c>
      <c r="U54" s="9">
        <v>1</v>
      </c>
      <c r="V54" s="9">
        <v>1</v>
      </c>
      <c r="W54" s="9">
        <v>1</v>
      </c>
      <c r="X54" s="9">
        <v>1</v>
      </c>
      <c r="Y54" s="9">
        <v>1</v>
      </c>
      <c r="Z54" s="9">
        <v>1</v>
      </c>
      <c r="AA54" s="9">
        <v>1</v>
      </c>
      <c r="AB54" s="9">
        <v>1</v>
      </c>
      <c r="AC54" s="9">
        <v>1</v>
      </c>
      <c r="AD54" s="9">
        <v>1</v>
      </c>
    </row>
    <row r="55" spans="1:30" x14ac:dyDescent="0.25">
      <c r="A55" s="5" t="s">
        <v>28</v>
      </c>
      <c r="B55" s="5" t="s">
        <v>91</v>
      </c>
      <c r="C55" s="5" t="s">
        <v>80</v>
      </c>
      <c r="D55" s="5"/>
      <c r="E55" s="9">
        <v>1</v>
      </c>
      <c r="F55" s="9">
        <v>1</v>
      </c>
      <c r="G55" s="9">
        <v>1</v>
      </c>
      <c r="H55" s="9">
        <v>1</v>
      </c>
      <c r="I55" s="9">
        <v>1</v>
      </c>
      <c r="J55" s="9">
        <v>1</v>
      </c>
      <c r="K55" s="9">
        <v>1</v>
      </c>
      <c r="L55" s="9">
        <v>1</v>
      </c>
      <c r="M55" s="9">
        <v>1</v>
      </c>
      <c r="N55" s="9">
        <v>1</v>
      </c>
      <c r="O55" s="9">
        <v>1</v>
      </c>
      <c r="P55" s="9">
        <v>1</v>
      </c>
      <c r="Q55" s="9">
        <v>1</v>
      </c>
      <c r="R55" s="9">
        <v>1</v>
      </c>
      <c r="S55" s="9">
        <v>1</v>
      </c>
      <c r="T55" s="9">
        <v>1</v>
      </c>
      <c r="U55" s="9">
        <v>1</v>
      </c>
      <c r="V55" s="9">
        <v>1</v>
      </c>
      <c r="W55" s="9">
        <v>1</v>
      </c>
      <c r="X55" s="9">
        <v>1</v>
      </c>
      <c r="Y55" s="9">
        <v>1</v>
      </c>
      <c r="Z55" s="9">
        <v>1</v>
      </c>
      <c r="AA55" s="9">
        <v>1</v>
      </c>
      <c r="AB55" s="9">
        <v>1</v>
      </c>
      <c r="AC55" s="9">
        <v>1</v>
      </c>
      <c r="AD55" s="9">
        <v>1</v>
      </c>
    </row>
    <row r="57" spans="1:30" x14ac:dyDescent="0.25">
      <c r="A57" s="4" t="s">
        <v>29</v>
      </c>
      <c r="B57" s="4"/>
      <c r="C57" s="4"/>
      <c r="D57" s="4" t="s">
        <v>2</v>
      </c>
      <c r="E57" s="10">
        <v>2025</v>
      </c>
      <c r="F57" s="10">
        <v>2026</v>
      </c>
      <c r="G57" s="10">
        <v>2027</v>
      </c>
      <c r="H57" s="10">
        <v>2028</v>
      </c>
      <c r="I57" s="10">
        <v>2029</v>
      </c>
      <c r="J57" s="10">
        <v>2030</v>
      </c>
      <c r="K57" s="10">
        <v>2031</v>
      </c>
      <c r="L57" s="10">
        <v>2032</v>
      </c>
      <c r="M57" s="10">
        <v>2033</v>
      </c>
      <c r="N57" s="10">
        <v>2034</v>
      </c>
      <c r="O57" s="10">
        <v>2035</v>
      </c>
      <c r="P57" s="10">
        <v>2036</v>
      </c>
      <c r="Q57" s="10">
        <v>2037</v>
      </c>
      <c r="R57" s="10">
        <v>2038</v>
      </c>
      <c r="S57" s="10">
        <v>2039</v>
      </c>
      <c r="T57" s="10">
        <v>2040</v>
      </c>
      <c r="U57" s="10">
        <v>2041</v>
      </c>
      <c r="V57" s="10">
        <v>2042</v>
      </c>
      <c r="W57" s="10">
        <v>2043</v>
      </c>
      <c r="X57" s="10">
        <v>2044</v>
      </c>
      <c r="Y57" s="10">
        <v>2045</v>
      </c>
      <c r="Z57" s="10">
        <v>2046</v>
      </c>
      <c r="AA57" s="10">
        <v>2047</v>
      </c>
      <c r="AB57" s="10">
        <v>2048</v>
      </c>
      <c r="AC57" s="10">
        <v>2049</v>
      </c>
      <c r="AD57" s="10">
        <v>2050</v>
      </c>
    </row>
    <row r="58" spans="1:30" x14ac:dyDescent="0.25">
      <c r="A58" s="5" t="s">
        <v>30</v>
      </c>
      <c r="B58" s="5" t="s">
        <v>92</v>
      </c>
      <c r="C58" s="5" t="s">
        <v>137</v>
      </c>
      <c r="D58" s="5"/>
      <c r="E58" s="9">
        <v>3.5757269767441861E-2</v>
      </c>
      <c r="F58" s="9">
        <v>5.926393469660142E-2</v>
      </c>
      <c r="G58" s="9">
        <v>5.8114796123361408E-2</v>
      </c>
      <c r="H58" s="9">
        <v>5.6684807251895591E-2</v>
      </c>
      <c r="I58" s="9">
        <v>5.5034528785792493E-2</v>
      </c>
      <c r="J58" s="9">
        <v>5.1299157954821248E-2</v>
      </c>
      <c r="K58" s="9">
        <v>3.8505717879427553E-2</v>
      </c>
      <c r="L58" s="9">
        <v>3.6789817004552236E-2</v>
      </c>
      <c r="M58" s="9">
        <v>3.5125917733139986E-2</v>
      </c>
      <c r="N58" s="9">
        <v>3.3515116168046373E-2</v>
      </c>
      <c r="O58" s="9">
        <v>3.195810234994903E-2</v>
      </c>
      <c r="P58" s="9">
        <v>3.0455211581909291E-2</v>
      </c>
      <c r="Q58" s="9">
        <v>2.9006470568874898E-2</v>
      </c>
      <c r="R58" s="9">
        <v>2.7611638845794831E-2</v>
      </c>
      <c r="S58" s="9">
        <v>2.6270245927168472E-2</v>
      </c>
      <c r="T58" s="9">
        <v>2.4981624573384358E-2</v>
      </c>
      <c r="U58" s="9">
        <v>2.3744940534868999E-2</v>
      </c>
      <c r="V58" s="9">
        <v>2.2559219103588022E-2</v>
      </c>
      <c r="W58" s="9">
        <v>2.1423368772608177E-2</v>
      </c>
      <c r="X58" s="9">
        <v>2.0336202278004967E-2</v>
      </c>
      <c r="Y58" s="9">
        <v>1.9296455273209362E-2</v>
      </c>
      <c r="Z58" s="9">
        <v>1.8302802863727503E-2</v>
      </c>
      <c r="AA58" s="9">
        <v>1.73538742098906E-2</v>
      </c>
      <c r="AB58" s="9">
        <v>1.6448265386727737E-2</v>
      </c>
      <c r="AC58" s="9">
        <v>1.5584550673076538E-2</v>
      </c>
      <c r="AD58" s="9">
        <v>1.4674274016093851E-2</v>
      </c>
    </row>
    <row r="59" spans="1:30" x14ac:dyDescent="0.25">
      <c r="A59" s="5" t="s">
        <v>31</v>
      </c>
      <c r="B59" s="5" t="s">
        <v>93</v>
      </c>
      <c r="C59" s="5" t="s">
        <v>137</v>
      </c>
      <c r="D59" s="5"/>
      <c r="E59" s="9">
        <v>1.0242986046511627E-2</v>
      </c>
      <c r="F59" s="9">
        <v>9.4975655719391081E-2</v>
      </c>
      <c r="G59" s="9">
        <v>8.8756677003248075E-2</v>
      </c>
      <c r="H59" s="9">
        <v>8.2883498915499787E-2</v>
      </c>
      <c r="I59" s="9">
        <v>7.7344645132935055E-2</v>
      </c>
      <c r="J59" s="9">
        <v>6.1516580902493401E-2</v>
      </c>
      <c r="K59" s="9">
        <v>5.5494985251721266E-2</v>
      </c>
      <c r="L59" s="9">
        <v>5.3015121264373855E-2</v>
      </c>
      <c r="M59" s="9">
        <v>5.0611163194533348E-2</v>
      </c>
      <c r="N59" s="9">
        <v>4.8284590246726024E-2</v>
      </c>
      <c r="O59" s="9">
        <v>4.6036305753101275E-2</v>
      </c>
      <c r="P59" s="9">
        <v>4.3540885342716287E-2</v>
      </c>
      <c r="Q59" s="9">
        <v>4.147267460689244E-2</v>
      </c>
      <c r="R59" s="9">
        <v>3.9481116332809083E-2</v>
      </c>
      <c r="S59" s="9">
        <v>3.7565581835497699E-2</v>
      </c>
      <c r="T59" s="9">
        <v>3.3821249300504216E-2</v>
      </c>
      <c r="U59" s="9">
        <v>3.2187608427531579E-2</v>
      </c>
      <c r="V59" s="9">
        <v>3.0617292650028077E-2</v>
      </c>
      <c r="W59" s="9">
        <v>2.9109417648483508E-2</v>
      </c>
      <c r="X59" s="9">
        <v>2.7662914262162441E-2</v>
      </c>
      <c r="Y59" s="9">
        <v>2.62765585853246E-2</v>
      </c>
      <c r="Z59" s="9">
        <v>2.4948998763686801E-2</v>
      </c>
      <c r="AA59" s="9">
        <v>2.3678778805063853E-2</v>
      </c>
      <c r="AB59" s="9">
        <v>2.2464359690384419E-2</v>
      </c>
      <c r="AC59" s="9">
        <v>2.1304138045873559E-2</v>
      </c>
      <c r="AD59" s="9">
        <v>1.8726225691087249E-2</v>
      </c>
    </row>
    <row r="60" spans="1:30" x14ac:dyDescent="0.25">
      <c r="A60" s="4" t="s">
        <v>32</v>
      </c>
      <c r="B60" s="4" t="s">
        <v>94</v>
      </c>
      <c r="C60" s="4"/>
      <c r="D60" s="4" t="s">
        <v>2</v>
      </c>
      <c r="E60" s="10">
        <v>2025</v>
      </c>
      <c r="F60" s="10">
        <v>2026</v>
      </c>
      <c r="G60" s="10">
        <v>2027</v>
      </c>
      <c r="H60" s="10">
        <v>2028</v>
      </c>
      <c r="I60" s="10">
        <v>2029</v>
      </c>
      <c r="J60" s="10">
        <v>2030</v>
      </c>
      <c r="K60" s="10">
        <v>2031</v>
      </c>
      <c r="L60" s="10">
        <v>2032</v>
      </c>
      <c r="M60" s="10">
        <v>2033</v>
      </c>
      <c r="N60" s="10">
        <v>2034</v>
      </c>
      <c r="O60" s="10">
        <v>2035</v>
      </c>
      <c r="P60" s="10">
        <v>2036</v>
      </c>
      <c r="Q60" s="10">
        <v>2037</v>
      </c>
      <c r="R60" s="10">
        <v>2038</v>
      </c>
      <c r="S60" s="10">
        <v>2039</v>
      </c>
      <c r="T60" s="10">
        <v>2040</v>
      </c>
      <c r="U60" s="10">
        <v>2041</v>
      </c>
      <c r="V60" s="10">
        <v>2042</v>
      </c>
      <c r="W60" s="10">
        <v>2043</v>
      </c>
      <c r="X60" s="10">
        <v>2044</v>
      </c>
      <c r="Y60" s="10">
        <v>2045</v>
      </c>
      <c r="Z60" s="10">
        <v>2046</v>
      </c>
      <c r="AA60" s="10">
        <v>2047</v>
      </c>
      <c r="AB60" s="10">
        <v>2048</v>
      </c>
      <c r="AC60" s="10">
        <v>2049</v>
      </c>
      <c r="AD60" s="10">
        <v>2050</v>
      </c>
    </row>
    <row r="61" spans="1:30" x14ac:dyDescent="0.25">
      <c r="A61" s="5" t="s">
        <v>33</v>
      </c>
      <c r="B61" s="5" t="s">
        <v>95</v>
      </c>
      <c r="C61" s="5" t="s">
        <v>96</v>
      </c>
      <c r="D61" s="5"/>
      <c r="E61" s="9">
        <v>1</v>
      </c>
      <c r="F61" s="9">
        <v>1</v>
      </c>
      <c r="G61" s="9">
        <v>1</v>
      </c>
      <c r="H61" s="9">
        <v>1</v>
      </c>
      <c r="I61" s="9">
        <v>1</v>
      </c>
      <c r="J61" s="9">
        <v>1</v>
      </c>
      <c r="K61" s="9">
        <v>1</v>
      </c>
      <c r="L61" s="9">
        <v>1</v>
      </c>
      <c r="M61" s="9">
        <v>1</v>
      </c>
      <c r="N61" s="9">
        <v>1</v>
      </c>
      <c r="O61" s="9">
        <v>1</v>
      </c>
      <c r="P61" s="9">
        <v>1</v>
      </c>
      <c r="Q61" s="9">
        <v>1</v>
      </c>
      <c r="R61" s="9">
        <v>1</v>
      </c>
      <c r="S61" s="9">
        <v>1</v>
      </c>
      <c r="T61" s="9">
        <v>1</v>
      </c>
      <c r="U61" s="9">
        <v>1</v>
      </c>
      <c r="V61" s="9">
        <v>1</v>
      </c>
      <c r="W61" s="9">
        <v>1</v>
      </c>
      <c r="X61" s="9">
        <v>1</v>
      </c>
      <c r="Y61" s="9">
        <v>1</v>
      </c>
      <c r="Z61" s="9">
        <v>1</v>
      </c>
      <c r="AA61" s="9">
        <v>1</v>
      </c>
      <c r="AB61" s="9">
        <v>1</v>
      </c>
      <c r="AC61" s="9">
        <v>1</v>
      </c>
      <c r="AD61" s="9">
        <v>0</v>
      </c>
    </row>
    <row r="62" spans="1:30" x14ac:dyDescent="0.25">
      <c r="A62" s="5" t="s">
        <v>34</v>
      </c>
      <c r="B62" s="5" t="s">
        <v>97</v>
      </c>
      <c r="C62" s="5" t="s">
        <v>96</v>
      </c>
      <c r="D62" s="5"/>
      <c r="E62" s="9">
        <v>1</v>
      </c>
      <c r="F62" s="9">
        <v>1</v>
      </c>
      <c r="G62" s="9">
        <v>1</v>
      </c>
      <c r="H62" s="9">
        <v>1</v>
      </c>
      <c r="I62" s="9">
        <v>1</v>
      </c>
      <c r="J62" s="9">
        <v>1</v>
      </c>
      <c r="K62" s="9">
        <v>1</v>
      </c>
      <c r="L62" s="9">
        <v>1</v>
      </c>
      <c r="M62" s="9">
        <v>1</v>
      </c>
      <c r="N62" s="9">
        <v>1</v>
      </c>
      <c r="O62" s="9">
        <v>1</v>
      </c>
      <c r="P62" s="9">
        <v>1</v>
      </c>
      <c r="Q62" s="9">
        <v>1</v>
      </c>
      <c r="R62" s="9">
        <v>1</v>
      </c>
      <c r="S62" s="9">
        <v>1</v>
      </c>
      <c r="T62" s="9">
        <v>1</v>
      </c>
      <c r="U62" s="9">
        <v>1</v>
      </c>
      <c r="V62" s="9">
        <v>1</v>
      </c>
      <c r="W62" s="9">
        <v>1</v>
      </c>
      <c r="X62" s="9">
        <v>1</v>
      </c>
      <c r="Y62" s="9">
        <v>1</v>
      </c>
      <c r="Z62" s="9">
        <v>1</v>
      </c>
      <c r="AA62" s="9">
        <v>1</v>
      </c>
      <c r="AB62" s="9">
        <v>1</v>
      </c>
      <c r="AC62" s="9">
        <v>1</v>
      </c>
      <c r="AD62" s="9">
        <v>0</v>
      </c>
    </row>
    <row r="64" spans="1:30" x14ac:dyDescent="0.25">
      <c r="A64" s="4" t="s">
        <v>35</v>
      </c>
      <c r="B64" s="4" t="s">
        <v>94</v>
      </c>
      <c r="C64" s="4"/>
      <c r="D64" s="4" t="s">
        <v>2</v>
      </c>
      <c r="E64" s="10">
        <v>2025</v>
      </c>
      <c r="F64" s="10">
        <v>2026</v>
      </c>
      <c r="G64" s="10">
        <v>2027</v>
      </c>
      <c r="H64" s="10">
        <v>2028</v>
      </c>
      <c r="I64" s="10">
        <v>2029</v>
      </c>
      <c r="J64" s="10">
        <v>2030</v>
      </c>
      <c r="K64" s="10">
        <v>2031</v>
      </c>
      <c r="L64" s="10">
        <v>2032</v>
      </c>
      <c r="M64" s="10">
        <v>2033</v>
      </c>
      <c r="N64" s="10">
        <v>2034</v>
      </c>
      <c r="O64" s="10">
        <v>2035</v>
      </c>
      <c r="P64" s="10">
        <v>2036</v>
      </c>
      <c r="Q64" s="10">
        <v>2037</v>
      </c>
      <c r="R64" s="10">
        <v>2038</v>
      </c>
      <c r="S64" s="10">
        <v>2039</v>
      </c>
      <c r="T64" s="10">
        <v>2040</v>
      </c>
      <c r="U64" s="10">
        <v>2041</v>
      </c>
      <c r="V64" s="10">
        <v>2042</v>
      </c>
      <c r="W64" s="10">
        <v>2043</v>
      </c>
      <c r="X64" s="10">
        <v>2044</v>
      </c>
      <c r="Y64" s="10">
        <v>2045</v>
      </c>
      <c r="Z64" s="10">
        <v>2046</v>
      </c>
      <c r="AA64" s="10">
        <v>2047</v>
      </c>
      <c r="AB64" s="10">
        <v>2048</v>
      </c>
      <c r="AC64" s="10">
        <v>2049</v>
      </c>
      <c r="AD64" s="10">
        <v>2050</v>
      </c>
    </row>
    <row r="65" spans="1:30" x14ac:dyDescent="0.25">
      <c r="A65" s="5" t="s">
        <v>36</v>
      </c>
      <c r="B65" s="5" t="s">
        <v>98</v>
      </c>
      <c r="C65" s="5" t="s">
        <v>99</v>
      </c>
      <c r="D65" s="5"/>
      <c r="E65" s="9">
        <v>1</v>
      </c>
      <c r="F65" s="9">
        <v>1</v>
      </c>
      <c r="G65" s="9">
        <v>1</v>
      </c>
      <c r="H65" s="9">
        <v>1</v>
      </c>
      <c r="I65" s="9">
        <v>1</v>
      </c>
      <c r="J65" s="9">
        <v>1</v>
      </c>
      <c r="K65" s="9">
        <v>1</v>
      </c>
      <c r="L65" s="9">
        <v>1</v>
      </c>
      <c r="M65" s="9">
        <v>1</v>
      </c>
      <c r="N65" s="9">
        <v>1</v>
      </c>
      <c r="O65" s="9">
        <v>1</v>
      </c>
      <c r="P65" s="9">
        <v>1</v>
      </c>
      <c r="Q65" s="9">
        <v>1</v>
      </c>
      <c r="R65" s="9">
        <v>1</v>
      </c>
      <c r="S65" s="9">
        <v>1</v>
      </c>
      <c r="T65" s="9">
        <v>1</v>
      </c>
      <c r="U65" s="9">
        <v>1</v>
      </c>
      <c r="V65" s="9">
        <v>1</v>
      </c>
      <c r="W65" s="9">
        <v>1</v>
      </c>
      <c r="X65" s="9">
        <v>1</v>
      </c>
      <c r="Y65" s="9">
        <v>1</v>
      </c>
      <c r="Z65" s="9">
        <v>1</v>
      </c>
      <c r="AA65" s="9">
        <v>1</v>
      </c>
      <c r="AB65" s="9">
        <v>1</v>
      </c>
      <c r="AC65" s="9">
        <v>1</v>
      </c>
      <c r="AD65" s="9">
        <v>1</v>
      </c>
    </row>
    <row r="66" spans="1:30" x14ac:dyDescent="0.25">
      <c r="A66" s="5" t="s">
        <v>37</v>
      </c>
      <c r="B66" s="5" t="s">
        <v>100</v>
      </c>
      <c r="C66" s="5" t="s">
        <v>99</v>
      </c>
      <c r="D66" s="5"/>
      <c r="E66" s="9">
        <v>1</v>
      </c>
      <c r="F66" s="9">
        <v>1</v>
      </c>
      <c r="G66" s="9">
        <v>1</v>
      </c>
      <c r="H66" s="9">
        <v>1</v>
      </c>
      <c r="I66" s="9">
        <v>1</v>
      </c>
      <c r="J66" s="9">
        <v>1</v>
      </c>
      <c r="K66" s="9">
        <v>1</v>
      </c>
      <c r="L66" s="9">
        <v>1</v>
      </c>
      <c r="M66" s="9">
        <v>1</v>
      </c>
      <c r="N66" s="9">
        <v>1</v>
      </c>
      <c r="O66" s="9">
        <v>1</v>
      </c>
      <c r="P66" s="9">
        <v>1</v>
      </c>
      <c r="Q66" s="9">
        <v>1</v>
      </c>
      <c r="R66" s="9">
        <v>1</v>
      </c>
      <c r="S66" s="9">
        <v>1</v>
      </c>
      <c r="T66" s="9">
        <v>1</v>
      </c>
      <c r="U66" s="9">
        <v>1</v>
      </c>
      <c r="V66" s="9">
        <v>1</v>
      </c>
      <c r="W66" s="9">
        <v>1</v>
      </c>
      <c r="X66" s="9">
        <v>1</v>
      </c>
      <c r="Y66" s="9">
        <v>1</v>
      </c>
      <c r="Z66" s="9">
        <v>1</v>
      </c>
      <c r="AA66" s="9">
        <v>1</v>
      </c>
      <c r="AB66" s="9">
        <v>1</v>
      </c>
      <c r="AC66" s="9">
        <v>1</v>
      </c>
      <c r="AD66" s="9">
        <v>1</v>
      </c>
    </row>
    <row r="67" spans="1:30" x14ac:dyDescent="0.25">
      <c r="A67" s="5" t="s">
        <v>38</v>
      </c>
      <c r="B67" s="5" t="s">
        <v>101</v>
      </c>
      <c r="C67" s="5" t="s">
        <v>99</v>
      </c>
      <c r="D67" s="5"/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</row>
    <row r="68" spans="1:30" x14ac:dyDescent="0.25">
      <c r="A68" s="5" t="s">
        <v>39</v>
      </c>
      <c r="B68" s="5" t="s">
        <v>102</v>
      </c>
      <c r="C68" s="5" t="s">
        <v>99</v>
      </c>
      <c r="D68" s="5"/>
      <c r="E68" s="9">
        <v>1</v>
      </c>
      <c r="F68" s="9">
        <v>1</v>
      </c>
      <c r="G68" s="9">
        <v>1</v>
      </c>
      <c r="H68" s="9">
        <v>1</v>
      </c>
      <c r="I68" s="9">
        <v>1</v>
      </c>
      <c r="J68" s="9">
        <v>1</v>
      </c>
      <c r="K68" s="9">
        <v>1</v>
      </c>
      <c r="L68" s="9">
        <v>1</v>
      </c>
      <c r="M68" s="9">
        <v>1</v>
      </c>
      <c r="N68" s="9">
        <v>1</v>
      </c>
      <c r="O68" s="9">
        <v>1</v>
      </c>
      <c r="P68" s="9">
        <v>1</v>
      </c>
      <c r="Q68" s="9">
        <v>1</v>
      </c>
      <c r="R68" s="9">
        <v>1</v>
      </c>
      <c r="S68" s="9">
        <v>1</v>
      </c>
      <c r="T68" s="9">
        <v>1</v>
      </c>
      <c r="U68" s="9">
        <v>1</v>
      </c>
      <c r="V68" s="9">
        <v>1</v>
      </c>
      <c r="W68" s="9">
        <v>1</v>
      </c>
      <c r="X68" s="9">
        <v>1</v>
      </c>
      <c r="Y68" s="9">
        <v>1</v>
      </c>
      <c r="Z68" s="9">
        <v>1</v>
      </c>
      <c r="AA68" s="9">
        <v>1</v>
      </c>
      <c r="AB68" s="9">
        <v>1</v>
      </c>
      <c r="AC68" s="9">
        <v>1</v>
      </c>
      <c r="AD68" s="9">
        <v>1</v>
      </c>
    </row>
    <row r="69" spans="1:30" x14ac:dyDescent="0.25">
      <c r="A69" s="5" t="s">
        <v>40</v>
      </c>
      <c r="B69" s="5" t="s">
        <v>103</v>
      </c>
      <c r="C69" s="5" t="s">
        <v>99</v>
      </c>
      <c r="D69" s="5"/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</row>
    <row r="71" spans="1:30" x14ac:dyDescent="0.25">
      <c r="A71" s="4" t="s">
        <v>41</v>
      </c>
      <c r="B71" s="4" t="s">
        <v>94</v>
      </c>
      <c r="C71" s="4"/>
      <c r="D71" s="4" t="s">
        <v>2</v>
      </c>
      <c r="E71" s="10">
        <v>2025</v>
      </c>
      <c r="F71" s="10">
        <v>2026</v>
      </c>
      <c r="G71" s="10">
        <v>2027</v>
      </c>
      <c r="H71" s="10">
        <v>2028</v>
      </c>
      <c r="I71" s="10">
        <v>2029</v>
      </c>
      <c r="J71" s="10">
        <v>2030</v>
      </c>
      <c r="K71" s="10">
        <v>2031</v>
      </c>
      <c r="L71" s="10">
        <v>2032</v>
      </c>
      <c r="M71" s="10">
        <v>2033</v>
      </c>
      <c r="N71" s="10">
        <v>2034</v>
      </c>
      <c r="O71" s="10">
        <v>2035</v>
      </c>
      <c r="P71" s="10">
        <v>2036</v>
      </c>
      <c r="Q71" s="10">
        <v>2037</v>
      </c>
      <c r="R71" s="10">
        <v>2038</v>
      </c>
      <c r="S71" s="10">
        <v>2039</v>
      </c>
      <c r="T71" s="10">
        <v>2040</v>
      </c>
      <c r="U71" s="10">
        <v>2041</v>
      </c>
      <c r="V71" s="10">
        <v>2042</v>
      </c>
      <c r="W71" s="10">
        <v>2043</v>
      </c>
      <c r="X71" s="10">
        <v>2044</v>
      </c>
      <c r="Y71" s="10">
        <v>2045</v>
      </c>
      <c r="Z71" s="10">
        <v>2046</v>
      </c>
      <c r="AA71" s="10">
        <v>2047</v>
      </c>
      <c r="AB71" s="10">
        <v>2048</v>
      </c>
      <c r="AC71" s="10">
        <v>2049</v>
      </c>
      <c r="AD71" s="10">
        <v>2050</v>
      </c>
    </row>
    <row r="72" spans="1:30" x14ac:dyDescent="0.25">
      <c r="A72" s="5" t="s">
        <v>42</v>
      </c>
      <c r="B72" s="5" t="s">
        <v>104</v>
      </c>
      <c r="C72" s="5" t="s">
        <v>105</v>
      </c>
      <c r="D72" s="5"/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</row>
    <row r="73" spans="1:30" x14ac:dyDescent="0.25">
      <c r="A73" s="5" t="s">
        <v>43</v>
      </c>
      <c r="B73" s="5" t="s">
        <v>106</v>
      </c>
      <c r="C73" s="5" t="s">
        <v>105</v>
      </c>
      <c r="D73" s="5"/>
      <c r="E73" s="9">
        <f>(1-(E13/$E13)/E52)*-0.0804</f>
        <v>0</v>
      </c>
      <c r="F73" s="9">
        <f t="shared" ref="F73:AD73" si="1">(1-(F13/$E13)/F52)*-0.0804</f>
        <v>-1.9222197955823684E-2</v>
      </c>
      <c r="G73" s="9">
        <f t="shared" si="1"/>
        <v>-3.8534470686766763E-2</v>
      </c>
      <c r="H73" s="9">
        <f t="shared" si="1"/>
        <v>-5.1706442953657429E-2</v>
      </c>
      <c r="I73" s="9">
        <f t="shared" si="1"/>
        <v>-6.1116309719208457E-2</v>
      </c>
      <c r="J73" s="9">
        <f t="shared" si="1"/>
        <v>-6.8072214483580654E-2</v>
      </c>
      <c r="K73" s="9">
        <f t="shared" si="1"/>
        <v>-7.0107523047283002E-2</v>
      </c>
      <c r="L73" s="9">
        <f t="shared" si="1"/>
        <v>-7.1458370668494836E-2</v>
      </c>
      <c r="M73" s="9">
        <f t="shared" si="1"/>
        <v>-7.2607925180553548E-2</v>
      </c>
      <c r="N73" s="9">
        <f t="shared" si="1"/>
        <v>-7.3597025468485414E-2</v>
      </c>
      <c r="O73" s="9">
        <f t="shared" si="1"/>
        <v>-7.4456210092879963E-2</v>
      </c>
      <c r="P73" s="9">
        <f t="shared" si="1"/>
        <v>-7.5023368471949611E-2</v>
      </c>
      <c r="Q73" s="9">
        <f t="shared" si="1"/>
        <v>-7.5524525959920666E-2</v>
      </c>
      <c r="R73" s="9">
        <f t="shared" si="1"/>
        <v>-7.5970264034511292E-2</v>
      </c>
      <c r="S73" s="9">
        <f t="shared" si="1"/>
        <v>-7.6369030651664213E-2</v>
      </c>
      <c r="T73" s="9">
        <f t="shared" si="1"/>
        <v>-7.6727651448088491E-2</v>
      </c>
      <c r="U73" s="9">
        <f t="shared" si="1"/>
        <v>-7.6981944490210993E-2</v>
      </c>
      <c r="V73" s="9">
        <f t="shared" si="1"/>
        <v>-7.7212982733976421E-2</v>
      </c>
      <c r="W73" s="9">
        <f t="shared" si="1"/>
        <v>-7.7423723392994345E-2</v>
      </c>
      <c r="X73" s="9">
        <f t="shared" si="1"/>
        <v>-7.7616646678180884E-2</v>
      </c>
      <c r="Y73" s="9">
        <f t="shared" si="1"/>
        <v>-7.7793848043717945E-2</v>
      </c>
      <c r="Z73" s="9">
        <f t="shared" si="1"/>
        <v>-7.795710983513017E-2</v>
      </c>
      <c r="AA73" s="9">
        <f t="shared" si="1"/>
        <v>-7.8107957512058568E-2</v>
      </c>
      <c r="AB73" s="9">
        <f t="shared" si="1"/>
        <v>-7.8247704185273201E-2</v>
      </c>
      <c r="AC73" s="9">
        <f t="shared" si="1"/>
        <v>-7.8377486206117661E-2</v>
      </c>
      <c r="AD73" s="9">
        <f t="shared" si="1"/>
        <v>-7.8498291837105535E-2</v>
      </c>
    </row>
    <row r="74" spans="1:30" x14ac:dyDescent="0.25">
      <c r="A74" s="5" t="s">
        <v>44</v>
      </c>
      <c r="B74" s="5" t="s">
        <v>107</v>
      </c>
      <c r="C74" s="5" t="s">
        <v>105</v>
      </c>
      <c r="D74" s="5"/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</row>
    <row r="75" spans="1:30" x14ac:dyDescent="0.25">
      <c r="A75" s="5" t="s">
        <v>45</v>
      </c>
      <c r="B75" s="5" t="s">
        <v>108</v>
      </c>
      <c r="C75" s="5" t="s">
        <v>105</v>
      </c>
      <c r="D75" s="5"/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</row>
    <row r="76" spans="1:30" x14ac:dyDescent="0.25">
      <c r="A76" s="5" t="s">
        <v>46</v>
      </c>
      <c r="B76" s="5" t="s">
        <v>109</v>
      </c>
      <c r="C76" s="5" t="s">
        <v>105</v>
      </c>
      <c r="D76" s="5"/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</row>
    <row r="78" spans="1:30" x14ac:dyDescent="0.25">
      <c r="A78" s="4" t="s">
        <v>47</v>
      </c>
      <c r="B78" s="4" t="s">
        <v>94</v>
      </c>
      <c r="C78" s="4"/>
      <c r="D78" s="4" t="s">
        <v>2</v>
      </c>
      <c r="E78" s="10">
        <v>2025</v>
      </c>
      <c r="F78" s="10">
        <v>2026</v>
      </c>
      <c r="G78" s="10">
        <v>2027</v>
      </c>
      <c r="H78" s="10">
        <v>2028</v>
      </c>
      <c r="I78" s="10">
        <v>2029</v>
      </c>
      <c r="J78" s="10">
        <v>2030</v>
      </c>
      <c r="K78" s="10">
        <v>2031</v>
      </c>
      <c r="L78" s="10">
        <v>2032</v>
      </c>
      <c r="M78" s="10">
        <v>2033</v>
      </c>
      <c r="N78" s="10">
        <v>2034</v>
      </c>
      <c r="O78" s="10">
        <v>2035</v>
      </c>
      <c r="P78" s="10">
        <v>2036</v>
      </c>
      <c r="Q78" s="10">
        <v>2037</v>
      </c>
      <c r="R78" s="10">
        <v>2038</v>
      </c>
      <c r="S78" s="10">
        <v>2039</v>
      </c>
      <c r="T78" s="10">
        <v>2040</v>
      </c>
      <c r="U78" s="10">
        <v>2041</v>
      </c>
      <c r="V78" s="10">
        <v>2042</v>
      </c>
      <c r="W78" s="10">
        <v>2043</v>
      </c>
      <c r="X78" s="10">
        <v>2044</v>
      </c>
      <c r="Y78" s="10">
        <v>2045</v>
      </c>
      <c r="Z78" s="10">
        <v>2046</v>
      </c>
      <c r="AA78" s="10">
        <v>2047</v>
      </c>
      <c r="AB78" s="10">
        <v>2048</v>
      </c>
      <c r="AC78" s="10">
        <v>2049</v>
      </c>
      <c r="AD78" s="10">
        <v>2050</v>
      </c>
    </row>
    <row r="79" spans="1:30" x14ac:dyDescent="0.25">
      <c r="A79" s="5" t="s">
        <v>48</v>
      </c>
      <c r="B79" s="5" t="s">
        <v>110</v>
      </c>
      <c r="C79" s="5" t="s">
        <v>99</v>
      </c>
      <c r="D79" s="5"/>
      <c r="E79" s="9">
        <v>1</v>
      </c>
      <c r="F79" s="9">
        <v>1</v>
      </c>
      <c r="G79" s="9">
        <v>1</v>
      </c>
      <c r="H79" s="9">
        <v>1</v>
      </c>
      <c r="I79" s="9">
        <v>1</v>
      </c>
      <c r="J79" s="9">
        <v>1</v>
      </c>
      <c r="K79" s="9">
        <v>1</v>
      </c>
      <c r="L79" s="9">
        <v>1</v>
      </c>
      <c r="M79" s="9">
        <v>1</v>
      </c>
      <c r="N79" s="9">
        <v>1</v>
      </c>
      <c r="O79" s="9">
        <v>1</v>
      </c>
      <c r="P79" s="9">
        <v>1</v>
      </c>
      <c r="Q79" s="9">
        <v>1</v>
      </c>
      <c r="R79" s="9">
        <v>1</v>
      </c>
      <c r="S79" s="9">
        <v>1</v>
      </c>
      <c r="T79" s="9">
        <v>1</v>
      </c>
      <c r="U79" s="9">
        <v>1</v>
      </c>
      <c r="V79" s="9">
        <v>1</v>
      </c>
      <c r="W79" s="9">
        <v>1</v>
      </c>
      <c r="X79" s="9">
        <v>1</v>
      </c>
      <c r="Y79" s="9">
        <v>1</v>
      </c>
      <c r="Z79" s="9">
        <v>1</v>
      </c>
      <c r="AA79" s="9">
        <v>1</v>
      </c>
      <c r="AB79" s="9">
        <v>1</v>
      </c>
      <c r="AC79" s="9">
        <v>1</v>
      </c>
      <c r="AD79" s="9">
        <v>1</v>
      </c>
    </row>
    <row r="80" spans="1:30" x14ac:dyDescent="0.25">
      <c r="A80" s="5" t="s">
        <v>49</v>
      </c>
      <c r="B80" s="5" t="s">
        <v>111</v>
      </c>
      <c r="C80" s="5" t="s">
        <v>99</v>
      </c>
      <c r="D80" s="5"/>
      <c r="E80" s="9">
        <v>1</v>
      </c>
      <c r="F80" s="9">
        <v>1</v>
      </c>
      <c r="G80" s="9">
        <v>1</v>
      </c>
      <c r="H80" s="9">
        <v>1</v>
      </c>
      <c r="I80" s="9">
        <v>1</v>
      </c>
      <c r="J80" s="9">
        <v>1</v>
      </c>
      <c r="K80" s="9">
        <v>1</v>
      </c>
      <c r="L80" s="9">
        <v>1</v>
      </c>
      <c r="M80" s="9">
        <v>1</v>
      </c>
      <c r="N80" s="9">
        <v>1</v>
      </c>
      <c r="O80" s="9">
        <v>1</v>
      </c>
      <c r="P80" s="9">
        <v>1</v>
      </c>
      <c r="Q80" s="9">
        <v>1</v>
      </c>
      <c r="R80" s="9">
        <v>1</v>
      </c>
      <c r="S80" s="9">
        <v>1</v>
      </c>
      <c r="T80" s="9">
        <v>1</v>
      </c>
      <c r="U80" s="9">
        <v>1</v>
      </c>
      <c r="V80" s="9">
        <v>1</v>
      </c>
      <c r="W80" s="9">
        <v>1</v>
      </c>
      <c r="X80" s="9">
        <v>1</v>
      </c>
      <c r="Y80" s="9">
        <v>1</v>
      </c>
      <c r="Z80" s="9">
        <v>1</v>
      </c>
      <c r="AA80" s="9">
        <v>1</v>
      </c>
      <c r="AB80" s="9">
        <v>1</v>
      </c>
      <c r="AC80" s="9">
        <v>1</v>
      </c>
      <c r="AD80" s="9">
        <v>1</v>
      </c>
    </row>
    <row r="82" spans="1:30" x14ac:dyDescent="0.25">
      <c r="A82" s="4" t="s">
        <v>50</v>
      </c>
      <c r="B82" s="4" t="s">
        <v>94</v>
      </c>
      <c r="C82" s="4"/>
      <c r="D82" s="4" t="s">
        <v>2</v>
      </c>
      <c r="E82" s="10">
        <v>2025</v>
      </c>
      <c r="F82" s="10">
        <v>2026</v>
      </c>
      <c r="G82" s="10">
        <v>2027</v>
      </c>
      <c r="H82" s="10">
        <v>2028</v>
      </c>
      <c r="I82" s="10">
        <v>2029</v>
      </c>
      <c r="J82" s="10">
        <v>2030</v>
      </c>
      <c r="K82" s="10">
        <v>2031</v>
      </c>
      <c r="L82" s="10">
        <v>2032</v>
      </c>
      <c r="M82" s="10">
        <v>2033</v>
      </c>
      <c r="N82" s="10">
        <v>2034</v>
      </c>
      <c r="O82" s="10">
        <v>2035</v>
      </c>
      <c r="P82" s="10">
        <v>2036</v>
      </c>
      <c r="Q82" s="10">
        <v>2037</v>
      </c>
      <c r="R82" s="10">
        <v>2038</v>
      </c>
      <c r="S82" s="10">
        <v>2039</v>
      </c>
      <c r="T82" s="10">
        <v>2040</v>
      </c>
      <c r="U82" s="10">
        <v>2041</v>
      </c>
      <c r="V82" s="10">
        <v>2042</v>
      </c>
      <c r="W82" s="10">
        <v>2043</v>
      </c>
      <c r="X82" s="10">
        <v>2044</v>
      </c>
      <c r="Y82" s="10">
        <v>2045</v>
      </c>
      <c r="Z82" s="10">
        <v>2046</v>
      </c>
      <c r="AA82" s="10">
        <v>2047</v>
      </c>
      <c r="AB82" s="10">
        <v>2048</v>
      </c>
      <c r="AC82" s="10">
        <v>2049</v>
      </c>
      <c r="AD82" s="10">
        <v>2050</v>
      </c>
    </row>
    <row r="83" spans="1:30" x14ac:dyDescent="0.25">
      <c r="A83" s="5" t="s">
        <v>51</v>
      </c>
      <c r="B83" s="5" t="s">
        <v>112</v>
      </c>
      <c r="C83" s="5" t="s">
        <v>80</v>
      </c>
      <c r="D83" s="5"/>
      <c r="E83" s="9">
        <v>1.0133693332288727</v>
      </c>
      <c r="F83" s="9">
        <v>1.0266776212408788</v>
      </c>
      <c r="G83" s="9">
        <v>1.0398024031002888</v>
      </c>
      <c r="H83" s="9">
        <v>1.052592682610437</v>
      </c>
      <c r="I83" s="9">
        <v>1.0649375250164776</v>
      </c>
      <c r="J83" s="9">
        <v>1.0767604319475683</v>
      </c>
      <c r="K83" s="9">
        <v>1.0859293391601177</v>
      </c>
      <c r="L83" s="9">
        <v>1.0949914809725116</v>
      </c>
      <c r="M83" s="9">
        <v>1.1039040333275185</v>
      </c>
      <c r="N83" s="9">
        <v>1.1126233872528719</v>
      </c>
      <c r="O83" s="9">
        <v>1.1186521974577166</v>
      </c>
      <c r="P83" s="9">
        <v>1.12435122616358</v>
      </c>
      <c r="Q83" s="9">
        <v>1.1296362221106708</v>
      </c>
      <c r="R83" s="9">
        <v>1.1344216454233442</v>
      </c>
      <c r="S83" s="9">
        <v>1.1386206058055219</v>
      </c>
      <c r="T83" s="9">
        <v>1.1401245953655326</v>
      </c>
      <c r="U83" s="9">
        <v>1.1410053227353241</v>
      </c>
      <c r="V83" s="9">
        <v>1.1413123476327636</v>
      </c>
      <c r="W83" s="9">
        <v>1.1410944063145427</v>
      </c>
      <c r="X83" s="9">
        <v>1.1403994755688864</v>
      </c>
      <c r="Y83" s="9">
        <v>1.1380259063792311</v>
      </c>
      <c r="Z83" s="9">
        <v>1.1380259063792311</v>
      </c>
      <c r="AA83" s="9">
        <v>1.1380259063792311</v>
      </c>
      <c r="AB83" s="9">
        <v>1.1380259063792311</v>
      </c>
      <c r="AC83" s="9">
        <v>1.1380259063792311</v>
      </c>
      <c r="AD83" s="9">
        <v>1.1380259063792311</v>
      </c>
    </row>
    <row r="84" spans="1:30" x14ac:dyDescent="0.25">
      <c r="A84" s="5" t="s">
        <v>52</v>
      </c>
      <c r="B84" s="5" t="s">
        <v>113</v>
      </c>
      <c r="C84" s="5" t="s">
        <v>80</v>
      </c>
      <c r="D84" s="5"/>
      <c r="E84" s="9">
        <v>1.0022002360622626</v>
      </c>
      <c r="F84" s="9">
        <v>1.004441220648238</v>
      </c>
      <c r="G84" s="9">
        <v>1.0065843808889363</v>
      </c>
      <c r="H84" s="9">
        <v>1.008467331278794</v>
      </c>
      <c r="I84" s="9">
        <v>1.0099699850947912</v>
      </c>
      <c r="J84" s="9">
        <v>1.0110375051623233</v>
      </c>
      <c r="K84" s="9">
        <v>1.0098271020884624</v>
      </c>
      <c r="L84" s="9">
        <v>1.0089108180278172</v>
      </c>
      <c r="M84" s="9">
        <v>1.0084066253706598</v>
      </c>
      <c r="N84" s="9">
        <v>1.008434658803625</v>
      </c>
      <c r="O84" s="9">
        <v>1.0069337852914864</v>
      </c>
      <c r="P84" s="9">
        <v>1.0063413990693895</v>
      </c>
      <c r="Q84" s="9">
        <v>1.0068895968405345</v>
      </c>
      <c r="R84" s="9">
        <v>1.0088140252074647</v>
      </c>
      <c r="S84" s="9">
        <v>1.0123540509322833</v>
      </c>
      <c r="T84" s="9">
        <v>1.0158698001368169</v>
      </c>
      <c r="U84" s="9">
        <v>1.021102521882038</v>
      </c>
      <c r="V84" s="9">
        <v>1.0279156882732075</v>
      </c>
      <c r="W84" s="9">
        <v>1.0361750398994547</v>
      </c>
      <c r="X84" s="9">
        <v>1.0457484095456571</v>
      </c>
      <c r="Y84" s="9">
        <v>1.0553987106788194</v>
      </c>
      <c r="Z84" s="9">
        <v>1.0553987106788194</v>
      </c>
      <c r="AA84" s="9">
        <v>1.0553987106788194</v>
      </c>
      <c r="AB84" s="9">
        <v>1.0553987106788194</v>
      </c>
      <c r="AC84" s="9">
        <v>1.0553987106788194</v>
      </c>
      <c r="AD84" s="9">
        <v>1.0553987106788194</v>
      </c>
    </row>
    <row r="86" spans="1:30" x14ac:dyDescent="0.25">
      <c r="A86" s="4" t="s">
        <v>53</v>
      </c>
      <c r="B86" s="4" t="s">
        <v>94</v>
      </c>
      <c r="C86" s="4"/>
      <c r="D86" s="4" t="s">
        <v>2</v>
      </c>
      <c r="E86" s="10">
        <v>2025</v>
      </c>
      <c r="F86" s="10">
        <v>2026</v>
      </c>
      <c r="G86" s="10">
        <v>2027</v>
      </c>
      <c r="H86" s="10">
        <v>2028</v>
      </c>
      <c r="I86" s="10">
        <v>2029</v>
      </c>
      <c r="J86" s="10">
        <v>2030</v>
      </c>
      <c r="K86" s="10">
        <v>2031</v>
      </c>
      <c r="L86" s="10">
        <v>2032</v>
      </c>
      <c r="M86" s="10">
        <v>2033</v>
      </c>
      <c r="N86" s="10">
        <v>2034</v>
      </c>
      <c r="O86" s="10">
        <v>2035</v>
      </c>
      <c r="P86" s="10">
        <v>2036</v>
      </c>
      <c r="Q86" s="10">
        <v>2037</v>
      </c>
      <c r="R86" s="10">
        <v>2038</v>
      </c>
      <c r="S86" s="10">
        <v>2039</v>
      </c>
      <c r="T86" s="10">
        <v>2040</v>
      </c>
      <c r="U86" s="10">
        <v>2041</v>
      </c>
      <c r="V86" s="10">
        <v>2042</v>
      </c>
      <c r="W86" s="10">
        <v>2043</v>
      </c>
      <c r="X86" s="10">
        <v>2044</v>
      </c>
      <c r="Y86" s="10">
        <v>2045</v>
      </c>
      <c r="Z86" s="10">
        <v>2046</v>
      </c>
      <c r="AA86" s="10">
        <v>2047</v>
      </c>
      <c r="AB86" s="10">
        <v>2048</v>
      </c>
      <c r="AC86" s="10">
        <v>2049</v>
      </c>
      <c r="AD86" s="10">
        <v>2050</v>
      </c>
    </row>
    <row r="87" spans="1:30" x14ac:dyDescent="0.25">
      <c r="A87" s="5" t="s">
        <v>54</v>
      </c>
      <c r="B87" s="5" t="s">
        <v>114</v>
      </c>
      <c r="C87" s="5" t="s">
        <v>115</v>
      </c>
      <c r="D87" s="5"/>
      <c r="E87" s="9">
        <v>1</v>
      </c>
      <c r="F87" s="9">
        <v>1.0086109999999999</v>
      </c>
      <c r="G87" s="9">
        <v>1.0172950000000001</v>
      </c>
      <c r="H87" s="9">
        <v>1.0260549999999999</v>
      </c>
      <c r="I87" s="9">
        <v>1.0348900000000001</v>
      </c>
      <c r="J87" s="9">
        <v>1.043801</v>
      </c>
      <c r="K87" s="9">
        <v>1.0527880000000001</v>
      </c>
      <c r="L87" s="9">
        <v>1.0618529999999999</v>
      </c>
      <c r="M87" s="9">
        <v>1.070997</v>
      </c>
      <c r="N87" s="9">
        <v>1.0802179999999999</v>
      </c>
      <c r="O87" s="9">
        <v>1.08952</v>
      </c>
      <c r="P87" s="9">
        <v>1.0989009999999999</v>
      </c>
      <c r="Q87" s="9">
        <v>1.108363</v>
      </c>
      <c r="R87" s="9">
        <v>1.117907</v>
      </c>
      <c r="S87" s="9">
        <v>1.1275329999999999</v>
      </c>
      <c r="T87" s="9">
        <v>1.1372409999999999</v>
      </c>
      <c r="U87" s="9">
        <v>1.1470340000000001</v>
      </c>
      <c r="V87" s="9">
        <v>1.1569100000000001</v>
      </c>
      <c r="W87" s="9">
        <v>1.1668719999999999</v>
      </c>
      <c r="X87" s="9">
        <v>1.176919</v>
      </c>
      <c r="Y87" s="9">
        <v>1.1870529999999999</v>
      </c>
      <c r="Z87" s="9">
        <v>1.1972739999999999</v>
      </c>
      <c r="AA87" s="9">
        <v>1.207584</v>
      </c>
      <c r="AB87" s="9">
        <v>1.2179819999999999</v>
      </c>
      <c r="AC87" s="9">
        <v>1.228469</v>
      </c>
      <c r="AD87" s="9">
        <v>1.239047</v>
      </c>
    </row>
    <row r="88" spans="1:30" x14ac:dyDescent="0.25">
      <c r="A88" s="5" t="s">
        <v>55</v>
      </c>
      <c r="B88" s="5" t="s">
        <v>116</v>
      </c>
      <c r="C88" s="5" t="s">
        <v>115</v>
      </c>
      <c r="D88" s="5"/>
      <c r="E88" s="9">
        <v>1</v>
      </c>
      <c r="F88" s="9">
        <v>1.0086109999999999</v>
      </c>
      <c r="G88" s="9">
        <v>1.0172950000000001</v>
      </c>
      <c r="H88" s="9">
        <v>1.0260549999999999</v>
      </c>
      <c r="I88" s="9">
        <v>1.0348900000000001</v>
      </c>
      <c r="J88" s="9">
        <v>1.043801</v>
      </c>
      <c r="K88" s="9">
        <v>1.0527880000000001</v>
      </c>
      <c r="L88" s="9">
        <v>1.0618529999999999</v>
      </c>
      <c r="M88" s="9">
        <v>1.070997</v>
      </c>
      <c r="N88" s="9">
        <v>1.0802179999999999</v>
      </c>
      <c r="O88" s="9">
        <v>1.08952</v>
      </c>
      <c r="P88" s="9">
        <v>1.0989009999999999</v>
      </c>
      <c r="Q88" s="9">
        <v>1.108363</v>
      </c>
      <c r="R88" s="9">
        <v>1.117907</v>
      </c>
      <c r="S88" s="9">
        <v>1.1275329999999999</v>
      </c>
      <c r="T88" s="9">
        <v>1.1372409999999999</v>
      </c>
      <c r="U88" s="9">
        <v>1.1470340000000001</v>
      </c>
      <c r="V88" s="9">
        <v>1.1569100000000001</v>
      </c>
      <c r="W88" s="9">
        <v>1.1668719999999999</v>
      </c>
      <c r="X88" s="9">
        <v>1.176919</v>
      </c>
      <c r="Y88" s="9">
        <v>1.1870529999999999</v>
      </c>
      <c r="Z88" s="9">
        <v>1.1972739999999999</v>
      </c>
      <c r="AA88" s="9">
        <v>1.207584</v>
      </c>
      <c r="AB88" s="9">
        <v>1.2179819999999999</v>
      </c>
      <c r="AC88" s="9">
        <v>1.228469</v>
      </c>
      <c r="AD88" s="9">
        <v>1.239047</v>
      </c>
    </row>
    <row r="89" spans="1:30" x14ac:dyDescent="0.25">
      <c r="A89" s="5" t="s">
        <v>56</v>
      </c>
      <c r="B89" s="5" t="s">
        <v>117</v>
      </c>
      <c r="C89" s="5" t="s">
        <v>115</v>
      </c>
      <c r="D89" s="5"/>
      <c r="E89" s="9">
        <v>1</v>
      </c>
      <c r="F89" s="9">
        <v>1.0086109999999999</v>
      </c>
      <c r="G89" s="9">
        <v>1.0172950000000001</v>
      </c>
      <c r="H89" s="9">
        <v>1.0260549999999999</v>
      </c>
      <c r="I89" s="9">
        <v>1.0348900000000001</v>
      </c>
      <c r="J89" s="9">
        <v>1.043801</v>
      </c>
      <c r="K89" s="9">
        <v>1.0527880000000001</v>
      </c>
      <c r="L89" s="9">
        <v>1.0618529999999999</v>
      </c>
      <c r="M89" s="9">
        <v>1.070997</v>
      </c>
      <c r="N89" s="9">
        <v>1.0802179999999999</v>
      </c>
      <c r="O89" s="9">
        <v>1.08952</v>
      </c>
      <c r="P89" s="9">
        <v>1.0989009999999999</v>
      </c>
      <c r="Q89" s="9">
        <v>1.108363</v>
      </c>
      <c r="R89" s="9">
        <v>1.117907</v>
      </c>
      <c r="S89" s="9">
        <v>1.1275329999999999</v>
      </c>
      <c r="T89" s="9">
        <v>1.1372409999999999</v>
      </c>
      <c r="U89" s="9">
        <v>1.1470340000000001</v>
      </c>
      <c r="V89" s="9">
        <v>1.1569100000000001</v>
      </c>
      <c r="W89" s="9">
        <v>1.1668719999999999</v>
      </c>
      <c r="X89" s="9">
        <v>1.176919</v>
      </c>
      <c r="Y89" s="9">
        <v>1.1870529999999999</v>
      </c>
      <c r="Z89" s="9">
        <v>1.1972739999999999</v>
      </c>
      <c r="AA89" s="9">
        <v>1.207584</v>
      </c>
      <c r="AB89" s="9">
        <v>1.2179819999999999</v>
      </c>
      <c r="AC89" s="9">
        <v>1.228469</v>
      </c>
      <c r="AD89" s="9">
        <v>1.239047</v>
      </c>
    </row>
    <row r="90" spans="1:30" x14ac:dyDescent="0.25">
      <c r="A90" s="5" t="s">
        <v>57</v>
      </c>
      <c r="B90" s="5" t="s">
        <v>118</v>
      </c>
      <c r="C90" s="5" t="s">
        <v>115</v>
      </c>
      <c r="D90" s="5"/>
      <c r="E90" s="9">
        <v>1</v>
      </c>
      <c r="F90" s="9">
        <v>1.0086109999999999</v>
      </c>
      <c r="G90" s="9">
        <v>1.0172950000000001</v>
      </c>
      <c r="H90" s="9">
        <v>1.0260549999999999</v>
      </c>
      <c r="I90" s="9">
        <v>1.0348900000000001</v>
      </c>
      <c r="J90" s="9">
        <v>1.043801</v>
      </c>
      <c r="K90" s="9">
        <v>1.0527880000000001</v>
      </c>
      <c r="L90" s="9">
        <v>1.0618529999999999</v>
      </c>
      <c r="M90" s="9">
        <v>1.070997</v>
      </c>
      <c r="N90" s="9">
        <v>1.0802179999999999</v>
      </c>
      <c r="O90" s="9">
        <v>1.08952</v>
      </c>
      <c r="P90" s="9">
        <v>1.0989009999999999</v>
      </c>
      <c r="Q90" s="9">
        <v>1.108363</v>
      </c>
      <c r="R90" s="9">
        <v>1.117907</v>
      </c>
      <c r="S90" s="9">
        <v>1.1275329999999999</v>
      </c>
      <c r="T90" s="9">
        <v>1.1372409999999999</v>
      </c>
      <c r="U90" s="9">
        <v>1.1470340000000001</v>
      </c>
      <c r="V90" s="9">
        <v>1.1569100000000001</v>
      </c>
      <c r="W90" s="9">
        <v>1.1668719999999999</v>
      </c>
      <c r="X90" s="9">
        <v>1.176919</v>
      </c>
      <c r="Y90" s="9">
        <v>1.1870529999999999</v>
      </c>
      <c r="Z90" s="9">
        <v>1.1972739999999999</v>
      </c>
      <c r="AA90" s="9">
        <v>1.207584</v>
      </c>
      <c r="AB90" s="9">
        <v>1.2179819999999999</v>
      </c>
      <c r="AC90" s="9">
        <v>1.228469</v>
      </c>
      <c r="AD90" s="9">
        <v>1.239047</v>
      </c>
    </row>
    <row r="91" spans="1:30" x14ac:dyDescent="0.25">
      <c r="A91" s="5" t="s">
        <v>58</v>
      </c>
      <c r="B91" s="5" t="s">
        <v>119</v>
      </c>
      <c r="C91" s="5" t="s">
        <v>115</v>
      </c>
      <c r="D91" s="5"/>
      <c r="E91" s="9">
        <v>1</v>
      </c>
      <c r="F91" s="9">
        <v>1.0086109999999999</v>
      </c>
      <c r="G91" s="9">
        <v>1.0172950000000001</v>
      </c>
      <c r="H91" s="9">
        <v>1.0260549999999999</v>
      </c>
      <c r="I91" s="9">
        <v>1.0348900000000001</v>
      </c>
      <c r="J91" s="9">
        <v>1.043801</v>
      </c>
      <c r="K91" s="9">
        <v>1.0527880000000001</v>
      </c>
      <c r="L91" s="9">
        <v>1.0618529999999999</v>
      </c>
      <c r="M91" s="9">
        <v>1.070997</v>
      </c>
      <c r="N91" s="9">
        <v>1.0802179999999999</v>
      </c>
      <c r="O91" s="9">
        <v>1.08952</v>
      </c>
      <c r="P91" s="9">
        <v>1.0989009999999999</v>
      </c>
      <c r="Q91" s="9">
        <v>1.108363</v>
      </c>
      <c r="R91" s="9">
        <v>1.117907</v>
      </c>
      <c r="S91" s="9">
        <v>1.1275329999999999</v>
      </c>
      <c r="T91" s="9">
        <v>1.1372409999999999</v>
      </c>
      <c r="U91" s="9">
        <v>1.1470340000000001</v>
      </c>
      <c r="V91" s="9">
        <v>1.1569100000000001</v>
      </c>
      <c r="W91" s="9">
        <v>1.1668719999999999</v>
      </c>
      <c r="X91" s="9">
        <v>1.176919</v>
      </c>
      <c r="Y91" s="9">
        <v>1.1870529999999999</v>
      </c>
      <c r="Z91" s="9">
        <v>1.1972739999999999</v>
      </c>
      <c r="AA91" s="9">
        <v>1.207584</v>
      </c>
      <c r="AB91" s="9">
        <v>1.2179819999999999</v>
      </c>
      <c r="AC91" s="9">
        <v>1.228469</v>
      </c>
      <c r="AD91" s="9">
        <v>1.239047</v>
      </c>
    </row>
    <row r="93" spans="1:30" x14ac:dyDescent="0.25">
      <c r="A93" s="4" t="s">
        <v>59</v>
      </c>
      <c r="B93" s="4" t="s">
        <v>94</v>
      </c>
      <c r="C93" s="4"/>
      <c r="D93" s="4" t="s">
        <v>2</v>
      </c>
      <c r="E93" s="10">
        <v>2025</v>
      </c>
      <c r="F93" s="10">
        <v>2026</v>
      </c>
      <c r="G93" s="10">
        <v>2027</v>
      </c>
      <c r="H93" s="10">
        <v>2028</v>
      </c>
      <c r="I93" s="10">
        <v>2029</v>
      </c>
      <c r="J93" s="10">
        <v>2030</v>
      </c>
      <c r="K93" s="10">
        <v>2031</v>
      </c>
      <c r="L93" s="10">
        <v>2032</v>
      </c>
      <c r="M93" s="10">
        <v>2033</v>
      </c>
      <c r="N93" s="10">
        <v>2034</v>
      </c>
      <c r="O93" s="10">
        <v>2035</v>
      </c>
      <c r="P93" s="10">
        <v>2036</v>
      </c>
      <c r="Q93" s="10">
        <v>2037</v>
      </c>
      <c r="R93" s="10">
        <v>2038</v>
      </c>
      <c r="S93" s="10">
        <v>2039</v>
      </c>
      <c r="T93" s="10">
        <v>2040</v>
      </c>
      <c r="U93" s="10">
        <v>2041</v>
      </c>
      <c r="V93" s="10">
        <v>2042</v>
      </c>
      <c r="W93" s="10">
        <v>2043</v>
      </c>
      <c r="X93" s="10">
        <v>2044</v>
      </c>
      <c r="Y93" s="10">
        <v>2045</v>
      </c>
      <c r="Z93" s="10">
        <v>2046</v>
      </c>
      <c r="AA93" s="10">
        <v>2047</v>
      </c>
      <c r="AB93" s="10">
        <v>2048</v>
      </c>
      <c r="AC93" s="10">
        <v>2049</v>
      </c>
      <c r="AD93" s="10">
        <v>2050</v>
      </c>
    </row>
    <row r="94" spans="1:30" x14ac:dyDescent="0.25">
      <c r="A94" s="5" t="s">
        <v>60</v>
      </c>
      <c r="B94" s="5" t="s">
        <v>120</v>
      </c>
      <c r="C94" s="5" t="s">
        <v>99</v>
      </c>
      <c r="D94" s="5"/>
      <c r="E94" s="9">
        <v>1</v>
      </c>
      <c r="F94" s="9">
        <v>1.067571</v>
      </c>
      <c r="G94" s="9">
        <v>1.1397600000000001</v>
      </c>
      <c r="H94" s="9">
        <v>1.216888</v>
      </c>
      <c r="I94" s="9">
        <v>1.299296</v>
      </c>
      <c r="J94" s="9">
        <v>1.387348</v>
      </c>
      <c r="K94" s="9">
        <v>1.4814369999999999</v>
      </c>
      <c r="L94" s="9">
        <v>1.5819810000000001</v>
      </c>
      <c r="M94" s="9">
        <v>1.689427</v>
      </c>
      <c r="N94" s="9">
        <v>1.8042549999999999</v>
      </c>
      <c r="O94" s="9">
        <v>1.9269769999999999</v>
      </c>
      <c r="P94" s="9">
        <v>2.0581420000000001</v>
      </c>
      <c r="Q94" s="9">
        <v>2.1983380000000001</v>
      </c>
      <c r="R94" s="9">
        <v>2.3481920000000001</v>
      </c>
      <c r="S94" s="9">
        <v>2.5083769999999999</v>
      </c>
      <c r="T94" s="9">
        <v>2.6796139999999999</v>
      </c>
      <c r="U94" s="9">
        <v>2.862673</v>
      </c>
      <c r="V94" s="9">
        <v>3.0583800000000001</v>
      </c>
      <c r="W94" s="9">
        <v>3.267617</v>
      </c>
      <c r="X94" s="9">
        <v>3.49133</v>
      </c>
      <c r="Y94" s="9">
        <v>3.730531</v>
      </c>
      <c r="Z94" s="9">
        <v>3.9863029999999999</v>
      </c>
      <c r="AA94" s="9">
        <v>4.2598079999999996</v>
      </c>
      <c r="AB94" s="9">
        <v>4.5522869999999998</v>
      </c>
      <c r="AC94" s="9">
        <v>4.8650700000000002</v>
      </c>
      <c r="AD94" s="9">
        <v>5.1995820000000004</v>
      </c>
    </row>
    <row r="95" spans="1:30" x14ac:dyDescent="0.25">
      <c r="A95" s="5" t="s">
        <v>61</v>
      </c>
      <c r="B95" s="5" t="s">
        <v>121</v>
      </c>
      <c r="C95" s="5" t="s">
        <v>80</v>
      </c>
      <c r="D95" s="5"/>
      <c r="E95" s="9">
        <v>1</v>
      </c>
      <c r="F95" s="9">
        <v>1.0700069999999999</v>
      </c>
      <c r="G95" s="9">
        <v>1.1449929999999999</v>
      </c>
      <c r="H95" s="9">
        <v>1.225317</v>
      </c>
      <c r="I95" s="9">
        <v>1.311364</v>
      </c>
      <c r="J95" s="9">
        <v>1.4035489999999999</v>
      </c>
      <c r="K95" s="9">
        <v>1.5023169999999999</v>
      </c>
      <c r="L95" s="9">
        <v>1.6081430000000001</v>
      </c>
      <c r="M95" s="9">
        <v>1.7215419999999999</v>
      </c>
      <c r="N95" s="9">
        <v>1.843062</v>
      </c>
      <c r="O95" s="9">
        <v>1.9732940000000001</v>
      </c>
      <c r="P95" s="9">
        <v>2.1128719999999999</v>
      </c>
      <c r="Q95" s="9">
        <v>2.2624770000000001</v>
      </c>
      <c r="R95" s="9">
        <v>2.4228390000000002</v>
      </c>
      <c r="S95" s="9">
        <v>2.5947429999999998</v>
      </c>
      <c r="T95" s="9">
        <v>2.7790339999999998</v>
      </c>
      <c r="U95" s="9">
        <v>2.9766149999999998</v>
      </c>
      <c r="V95" s="9">
        <v>3.1884610000000002</v>
      </c>
      <c r="W95" s="9">
        <v>3.4156140000000001</v>
      </c>
      <c r="X95" s="9">
        <v>3.6591990000000001</v>
      </c>
      <c r="Y95" s="9">
        <v>3.9204189999999999</v>
      </c>
      <c r="Z95" s="9">
        <v>4.2005710000000001</v>
      </c>
      <c r="AA95" s="9">
        <v>4.5010459999999997</v>
      </c>
      <c r="AB95" s="9">
        <v>4.82334</v>
      </c>
      <c r="AC95" s="9">
        <v>5.1690589999999998</v>
      </c>
      <c r="AD95" s="9">
        <v>5.5399289999999999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C2C4-C8EB-42BC-85FD-C652F60261FB}">
  <dimension ref="F16:AR50"/>
  <sheetViews>
    <sheetView workbookViewId="0">
      <selection activeCell="J17" sqref="J17:AR18"/>
    </sheetView>
  </sheetViews>
  <sheetFormatPr defaultRowHeight="15" x14ac:dyDescent="0.25"/>
  <sheetData>
    <row r="16" spans="6:7" x14ac:dyDescent="0.25">
      <c r="F16">
        <v>1.0133693332288727</v>
      </c>
      <c r="G16">
        <v>1.0022002360622626</v>
      </c>
    </row>
    <row r="17" spans="6:44" x14ac:dyDescent="0.25">
      <c r="F17">
        <v>1.0266776212408788</v>
      </c>
      <c r="G17">
        <v>1.004441220648238</v>
      </c>
      <c r="J17">
        <v>1.0133693332288727</v>
      </c>
      <c r="K17">
        <v>1.0266776212408788</v>
      </c>
      <c r="L17">
        <v>1.0398024031002888</v>
      </c>
      <c r="M17">
        <v>1.052592682610437</v>
      </c>
      <c r="N17">
        <v>1.0649375250164776</v>
      </c>
      <c r="O17">
        <v>1.0767604319475683</v>
      </c>
      <c r="P17">
        <v>1.0859293391601177</v>
      </c>
      <c r="Q17">
        <v>1.0949914809725116</v>
      </c>
      <c r="R17">
        <v>1.1039040333275185</v>
      </c>
      <c r="S17">
        <v>1.1126233872528719</v>
      </c>
      <c r="T17">
        <v>1.1186521974577166</v>
      </c>
      <c r="U17">
        <v>1.12435122616358</v>
      </c>
      <c r="V17">
        <v>1.1296362221106708</v>
      </c>
      <c r="W17">
        <v>1.1344216454233442</v>
      </c>
      <c r="X17">
        <v>1.1386206058055219</v>
      </c>
      <c r="Y17">
        <v>1.1401245953655326</v>
      </c>
      <c r="Z17">
        <v>1.1410053227353241</v>
      </c>
      <c r="AA17">
        <v>1.1413123476327636</v>
      </c>
      <c r="AB17">
        <v>1.1410944063145427</v>
      </c>
      <c r="AC17">
        <v>1.1403994755688864</v>
      </c>
      <c r="AD17">
        <v>1.1380259063792311</v>
      </c>
      <c r="AE17">
        <v>1.1380259063792311</v>
      </c>
      <c r="AF17">
        <v>1.1380259063792311</v>
      </c>
      <c r="AG17">
        <v>1.1380259063792311</v>
      </c>
      <c r="AH17">
        <v>1.1380259063792311</v>
      </c>
      <c r="AI17">
        <v>1.1380259063792311</v>
      </c>
      <c r="AJ17">
        <v>1.1380259063792311</v>
      </c>
      <c r="AK17">
        <v>1.1380259063792311</v>
      </c>
      <c r="AL17">
        <v>1.1380259063792311</v>
      </c>
      <c r="AM17">
        <v>1.1380259063792311</v>
      </c>
      <c r="AN17">
        <v>1.1380259063792311</v>
      </c>
      <c r="AO17">
        <v>1.1380259063792311</v>
      </c>
      <c r="AP17">
        <v>1.1380259063792311</v>
      </c>
      <c r="AQ17">
        <v>1.1380259063792311</v>
      </c>
      <c r="AR17">
        <v>1.1380259063792311</v>
      </c>
    </row>
    <row r="18" spans="6:44" x14ac:dyDescent="0.25">
      <c r="F18">
        <v>1.0398024031002888</v>
      </c>
      <c r="G18">
        <v>1.0065843808889363</v>
      </c>
      <c r="J18">
        <v>1.0022002360622626</v>
      </c>
      <c r="K18">
        <v>1.004441220648238</v>
      </c>
      <c r="L18">
        <v>1.0065843808889363</v>
      </c>
      <c r="M18">
        <v>1.008467331278794</v>
      </c>
      <c r="N18">
        <v>1.0099699850947912</v>
      </c>
      <c r="O18">
        <v>1.0110375051623233</v>
      </c>
      <c r="P18">
        <v>1.0098271020884624</v>
      </c>
      <c r="Q18">
        <v>1.0089108180278172</v>
      </c>
      <c r="R18">
        <v>1.0084066253706598</v>
      </c>
      <c r="S18">
        <v>1.008434658803625</v>
      </c>
      <c r="T18">
        <v>1.0069337852914864</v>
      </c>
      <c r="U18">
        <v>1.0063413990693895</v>
      </c>
      <c r="V18">
        <v>1.0068895968405345</v>
      </c>
      <c r="W18">
        <v>1.0088140252074647</v>
      </c>
      <c r="X18">
        <v>1.0123540509322833</v>
      </c>
      <c r="Y18">
        <v>1.0158698001368169</v>
      </c>
      <c r="Z18">
        <v>1.021102521882038</v>
      </c>
      <c r="AA18">
        <v>1.0279156882732075</v>
      </c>
      <c r="AB18">
        <v>1.0361750398994547</v>
      </c>
      <c r="AC18">
        <v>1.0457484095456571</v>
      </c>
      <c r="AD18">
        <v>1.0553987106788194</v>
      </c>
      <c r="AE18">
        <v>1.0553987106788194</v>
      </c>
      <c r="AF18">
        <v>1.0553987106788194</v>
      </c>
      <c r="AG18">
        <v>1.0553987106788194</v>
      </c>
      <c r="AH18">
        <v>1.0553987106788194</v>
      </c>
      <c r="AI18">
        <v>1.0553987106788194</v>
      </c>
      <c r="AJ18">
        <v>1.0553987106788194</v>
      </c>
      <c r="AK18">
        <v>1.0553987106788194</v>
      </c>
      <c r="AL18">
        <v>1.0553987106788194</v>
      </c>
      <c r="AM18">
        <v>1.0553987106788194</v>
      </c>
      <c r="AN18">
        <v>1.0553987106788194</v>
      </c>
      <c r="AO18">
        <v>1.0553987106788194</v>
      </c>
      <c r="AP18">
        <v>1.0553987106788194</v>
      </c>
      <c r="AQ18">
        <v>1.0553987106788194</v>
      </c>
      <c r="AR18">
        <v>1.0553987106788194</v>
      </c>
    </row>
    <row r="19" spans="6:44" x14ac:dyDescent="0.25">
      <c r="F19">
        <v>1.052592682610437</v>
      </c>
      <c r="G19">
        <v>1.008467331278794</v>
      </c>
    </row>
    <row r="20" spans="6:44" x14ac:dyDescent="0.25">
      <c r="F20">
        <v>1.0649375250164776</v>
      </c>
      <c r="G20">
        <v>1.0099699850947912</v>
      </c>
    </row>
    <row r="21" spans="6:44" x14ac:dyDescent="0.25">
      <c r="F21">
        <v>1.0767604319475683</v>
      </c>
      <c r="G21">
        <v>1.0110375051623233</v>
      </c>
    </row>
    <row r="22" spans="6:44" x14ac:dyDescent="0.25">
      <c r="F22">
        <v>1.0859293391601177</v>
      </c>
      <c r="G22">
        <v>1.0098271020884624</v>
      </c>
    </row>
    <row r="23" spans="6:44" x14ac:dyDescent="0.25">
      <c r="F23">
        <v>1.0949914809725116</v>
      </c>
      <c r="G23">
        <v>1.0089108180278172</v>
      </c>
    </row>
    <row r="24" spans="6:44" x14ac:dyDescent="0.25">
      <c r="F24">
        <v>1.1039040333275185</v>
      </c>
      <c r="G24">
        <v>1.0084066253706598</v>
      </c>
    </row>
    <row r="25" spans="6:44" x14ac:dyDescent="0.25">
      <c r="F25">
        <v>1.1126233872528719</v>
      </c>
      <c r="G25">
        <v>1.008434658803625</v>
      </c>
    </row>
    <row r="26" spans="6:44" x14ac:dyDescent="0.25">
      <c r="F26">
        <v>1.1186521974577166</v>
      </c>
      <c r="G26">
        <v>1.0069337852914864</v>
      </c>
    </row>
    <row r="27" spans="6:44" x14ac:dyDescent="0.25">
      <c r="F27">
        <v>1.12435122616358</v>
      </c>
      <c r="G27">
        <v>1.0063413990693895</v>
      </c>
    </row>
    <row r="28" spans="6:44" x14ac:dyDescent="0.25">
      <c r="F28">
        <v>1.1296362221106708</v>
      </c>
      <c r="G28">
        <v>1.0068895968405345</v>
      </c>
    </row>
    <row r="29" spans="6:44" x14ac:dyDescent="0.25">
      <c r="F29">
        <v>1.1344216454233442</v>
      </c>
      <c r="G29">
        <v>1.0088140252074647</v>
      </c>
    </row>
    <row r="30" spans="6:44" x14ac:dyDescent="0.25">
      <c r="F30">
        <v>1.1386206058055219</v>
      </c>
      <c r="G30">
        <v>1.0123540509322833</v>
      </c>
    </row>
    <row r="31" spans="6:44" x14ac:dyDescent="0.25">
      <c r="F31">
        <v>1.1401245953655326</v>
      </c>
      <c r="G31">
        <v>1.0158698001368169</v>
      </c>
    </row>
    <row r="32" spans="6:44" x14ac:dyDescent="0.25">
      <c r="F32">
        <v>1.1410053227353241</v>
      </c>
      <c r="G32">
        <v>1.021102521882038</v>
      </c>
    </row>
    <row r="33" spans="6:7" x14ac:dyDescent="0.25">
      <c r="F33">
        <v>1.1413123476327636</v>
      </c>
      <c r="G33">
        <v>1.0279156882732075</v>
      </c>
    </row>
    <row r="34" spans="6:7" x14ac:dyDescent="0.25">
      <c r="F34">
        <v>1.1410944063145427</v>
      </c>
      <c r="G34">
        <v>1.0361750398994547</v>
      </c>
    </row>
    <row r="35" spans="6:7" x14ac:dyDescent="0.25">
      <c r="F35">
        <v>1.1403994755688864</v>
      </c>
      <c r="G35">
        <v>1.0457484095456571</v>
      </c>
    </row>
    <row r="36" spans="6:7" x14ac:dyDescent="0.25">
      <c r="F36">
        <v>1.1380259063792311</v>
      </c>
      <c r="G36">
        <v>1.0553987106788194</v>
      </c>
    </row>
    <row r="37" spans="6:7" x14ac:dyDescent="0.25">
      <c r="F37">
        <v>1.1380259063792311</v>
      </c>
      <c r="G37">
        <v>1.0553987106788194</v>
      </c>
    </row>
    <row r="38" spans="6:7" x14ac:dyDescent="0.25">
      <c r="F38">
        <v>1.1380259063792311</v>
      </c>
      <c r="G38">
        <v>1.0553987106788194</v>
      </c>
    </row>
    <row r="39" spans="6:7" x14ac:dyDescent="0.25">
      <c r="F39">
        <v>1.1380259063792311</v>
      </c>
      <c r="G39">
        <v>1.0553987106788194</v>
      </c>
    </row>
    <row r="40" spans="6:7" x14ac:dyDescent="0.25">
      <c r="F40">
        <v>1.1380259063792311</v>
      </c>
      <c r="G40">
        <v>1.0553987106788194</v>
      </c>
    </row>
    <row r="41" spans="6:7" x14ac:dyDescent="0.25">
      <c r="F41">
        <v>1.1380259063792311</v>
      </c>
      <c r="G41">
        <v>1.0553987106788194</v>
      </c>
    </row>
    <row r="42" spans="6:7" x14ac:dyDescent="0.25">
      <c r="F42">
        <v>1.1380259063792311</v>
      </c>
      <c r="G42">
        <v>1.0553987106788194</v>
      </c>
    </row>
    <row r="43" spans="6:7" x14ac:dyDescent="0.25">
      <c r="F43">
        <v>1.1380259063792311</v>
      </c>
      <c r="G43">
        <v>1.0553987106788194</v>
      </c>
    </row>
    <row r="44" spans="6:7" x14ac:dyDescent="0.25">
      <c r="F44">
        <v>1.1380259063792311</v>
      </c>
      <c r="G44">
        <v>1.0553987106788194</v>
      </c>
    </row>
    <row r="45" spans="6:7" x14ac:dyDescent="0.25">
      <c r="F45">
        <v>1.1380259063792311</v>
      </c>
      <c r="G45">
        <v>1.0553987106788194</v>
      </c>
    </row>
    <row r="46" spans="6:7" x14ac:dyDescent="0.25">
      <c r="F46">
        <v>1.1380259063792311</v>
      </c>
      <c r="G46">
        <v>1.0553987106788194</v>
      </c>
    </row>
    <row r="47" spans="6:7" x14ac:dyDescent="0.25">
      <c r="F47">
        <v>1.1380259063792311</v>
      </c>
      <c r="G47">
        <v>1.0553987106788194</v>
      </c>
    </row>
    <row r="48" spans="6:7" x14ac:dyDescent="0.25">
      <c r="F48">
        <v>1.1380259063792311</v>
      </c>
      <c r="G48">
        <v>1.0553987106788194</v>
      </c>
    </row>
    <row r="49" spans="6:7" x14ac:dyDescent="0.25">
      <c r="F49">
        <v>1.1380259063792311</v>
      </c>
      <c r="G49">
        <v>1.0553987106788194</v>
      </c>
    </row>
    <row r="50" spans="6:7" x14ac:dyDescent="0.25">
      <c r="F50">
        <v>1.1380259063792311</v>
      </c>
      <c r="G50">
        <v>1.0553987106788194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1"/>
  <sheetViews>
    <sheetView workbookViewId="0">
      <pane xSplit="4" ySplit="9" topLeftCell="E10" activePane="bottomRight" state="frozenSplit"/>
      <selection pane="topRight" activeCell="E1" sqref="E1"/>
      <selection pane="bottomLeft" activeCell="A10" sqref="A10"/>
      <selection pane="bottomRight" sqref="A1:D1"/>
    </sheetView>
  </sheetViews>
  <sheetFormatPr defaultRowHeight="15" x14ac:dyDescent="0.25"/>
  <cols>
    <col min="1" max="1" width="52.7109375" customWidth="1"/>
    <col min="2" max="2" width="24.7109375" customWidth="1"/>
    <col min="3" max="3" width="30.7109375" customWidth="1"/>
    <col min="4" max="4" width="38.7109375" customWidth="1"/>
    <col min="5" max="30" width="5.140625" style="6" customWidth="1"/>
  </cols>
  <sheetData>
    <row r="1" spans="1:30" ht="18.75" x14ac:dyDescent="0.3">
      <c r="A1" s="13" t="s">
        <v>122</v>
      </c>
      <c r="B1" s="14"/>
      <c r="C1" s="14"/>
      <c r="D1" s="14"/>
    </row>
    <row r="8" spans="1:30" x14ac:dyDescent="0.25">
      <c r="A8" s="2" t="s">
        <v>1</v>
      </c>
      <c r="B8" s="2" t="s">
        <v>62</v>
      </c>
      <c r="C8" s="2" t="s">
        <v>63</v>
      </c>
      <c r="D8" s="2" t="s">
        <v>64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x14ac:dyDescent="0.25">
      <c r="D9" s="1" t="s">
        <v>2</v>
      </c>
      <c r="E9" s="8">
        <v>2025</v>
      </c>
      <c r="F9" s="8">
        <v>2026</v>
      </c>
      <c r="G9" s="8">
        <v>2027</v>
      </c>
      <c r="H9" s="8">
        <v>2028</v>
      </c>
      <c r="I9" s="8">
        <v>2029</v>
      </c>
      <c r="J9" s="8">
        <v>2030</v>
      </c>
      <c r="K9" s="8">
        <v>2031</v>
      </c>
      <c r="L9" s="8">
        <v>2032</v>
      </c>
      <c r="M9" s="8">
        <v>2033</v>
      </c>
      <c r="N9" s="8">
        <v>2034</v>
      </c>
      <c r="O9" s="8">
        <v>2035</v>
      </c>
      <c r="P9" s="8">
        <v>2036</v>
      </c>
      <c r="Q9" s="8">
        <v>2037</v>
      </c>
      <c r="R9" s="8">
        <v>2038</v>
      </c>
      <c r="S9" s="8">
        <v>2039</v>
      </c>
      <c r="T9" s="8">
        <v>2040</v>
      </c>
      <c r="U9" s="8">
        <v>2041</v>
      </c>
      <c r="V9" s="8">
        <v>2042</v>
      </c>
      <c r="W9" s="8">
        <v>2043</v>
      </c>
      <c r="X9" s="8">
        <v>2044</v>
      </c>
      <c r="Y9" s="8">
        <v>2045</v>
      </c>
      <c r="Z9" s="8">
        <v>2046</v>
      </c>
      <c r="AA9" s="8">
        <v>2047</v>
      </c>
      <c r="AB9" s="8">
        <v>2048</v>
      </c>
      <c r="AC9" s="8">
        <v>2049</v>
      </c>
      <c r="AD9" s="8">
        <v>2050</v>
      </c>
    </row>
    <row r="10" spans="1:30" x14ac:dyDescent="0.25">
      <c r="A10" s="4" t="s">
        <v>123</v>
      </c>
      <c r="B10" s="4" t="s">
        <v>134</v>
      </c>
      <c r="C10" s="4" t="s">
        <v>115</v>
      </c>
      <c r="D10" s="4"/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9">
        <v>1</v>
      </c>
      <c r="Q10" s="9">
        <v>1</v>
      </c>
      <c r="R10" s="9">
        <v>1</v>
      </c>
      <c r="S10" s="9">
        <v>1</v>
      </c>
      <c r="T10" s="9">
        <v>1</v>
      </c>
      <c r="U10" s="9">
        <v>1</v>
      </c>
      <c r="V10" s="9">
        <v>1</v>
      </c>
      <c r="W10" s="9">
        <v>1</v>
      </c>
      <c r="X10" s="9">
        <v>1</v>
      </c>
      <c r="Y10" s="9">
        <v>1</v>
      </c>
      <c r="Z10" s="9">
        <v>1</v>
      </c>
      <c r="AA10" s="9">
        <v>1</v>
      </c>
      <c r="AB10" s="9">
        <v>1</v>
      </c>
      <c r="AC10" s="9">
        <v>1</v>
      </c>
      <c r="AD10" s="9">
        <v>1</v>
      </c>
    </row>
    <row r="11" spans="1:30" x14ac:dyDescent="0.25">
      <c r="D11" s="3" t="s">
        <v>2</v>
      </c>
      <c r="E11" s="10">
        <v>2025</v>
      </c>
      <c r="F11" s="10">
        <v>2026</v>
      </c>
      <c r="G11" s="10">
        <v>2027</v>
      </c>
      <c r="H11" s="10">
        <v>2028</v>
      </c>
      <c r="I11" s="10">
        <v>2029</v>
      </c>
      <c r="J11" s="10">
        <v>2030</v>
      </c>
      <c r="K11" s="10">
        <v>2031</v>
      </c>
      <c r="L11" s="10">
        <v>2032</v>
      </c>
      <c r="M11" s="10">
        <v>2033</v>
      </c>
      <c r="N11" s="10">
        <v>2034</v>
      </c>
      <c r="O11" s="10">
        <v>2035</v>
      </c>
      <c r="P11" s="10">
        <v>2036</v>
      </c>
      <c r="Q11" s="10">
        <v>2037</v>
      </c>
      <c r="R11" s="10">
        <v>2038</v>
      </c>
      <c r="S11" s="10">
        <v>2039</v>
      </c>
      <c r="T11" s="10">
        <v>2040</v>
      </c>
      <c r="U11" s="10">
        <v>2041</v>
      </c>
      <c r="V11" s="10">
        <v>2042</v>
      </c>
      <c r="W11" s="10">
        <v>2043</v>
      </c>
      <c r="X11" s="10">
        <v>2044</v>
      </c>
      <c r="Y11" s="10">
        <v>2045</v>
      </c>
      <c r="Z11" s="10">
        <v>2046</v>
      </c>
      <c r="AA11" s="10">
        <v>2047</v>
      </c>
      <c r="AB11" s="10">
        <v>2048</v>
      </c>
      <c r="AC11" s="10">
        <v>2049</v>
      </c>
      <c r="AD11" s="10">
        <v>2050</v>
      </c>
    </row>
    <row r="13" spans="1:30" x14ac:dyDescent="0.25">
      <c r="A13" s="4" t="s">
        <v>124</v>
      </c>
      <c r="B13" s="4" t="s">
        <v>94</v>
      </c>
      <c r="C13" s="4"/>
      <c r="D13" s="4" t="s">
        <v>2</v>
      </c>
      <c r="E13" s="10">
        <v>2025</v>
      </c>
      <c r="F13" s="10">
        <v>2026</v>
      </c>
      <c r="G13" s="10">
        <v>2027</v>
      </c>
      <c r="H13" s="10">
        <v>2028</v>
      </c>
      <c r="I13" s="10">
        <v>2029</v>
      </c>
      <c r="J13" s="10">
        <v>2030</v>
      </c>
      <c r="K13" s="10">
        <v>2031</v>
      </c>
      <c r="L13" s="10">
        <v>2032</v>
      </c>
      <c r="M13" s="10">
        <v>2033</v>
      </c>
      <c r="N13" s="10">
        <v>2034</v>
      </c>
      <c r="O13" s="10">
        <v>2035</v>
      </c>
      <c r="P13" s="10">
        <v>2036</v>
      </c>
      <c r="Q13" s="10">
        <v>2037</v>
      </c>
      <c r="R13" s="10">
        <v>2038</v>
      </c>
      <c r="S13" s="10">
        <v>2039</v>
      </c>
      <c r="T13" s="10">
        <v>2040</v>
      </c>
      <c r="U13" s="10">
        <v>2041</v>
      </c>
      <c r="V13" s="10">
        <v>2042</v>
      </c>
      <c r="W13" s="10">
        <v>2043</v>
      </c>
      <c r="X13" s="10">
        <v>2044</v>
      </c>
      <c r="Y13" s="10">
        <v>2045</v>
      </c>
      <c r="Z13" s="10">
        <v>2046</v>
      </c>
      <c r="AA13" s="10">
        <v>2047</v>
      </c>
      <c r="AB13" s="10">
        <v>2048</v>
      </c>
      <c r="AC13" s="10">
        <v>2049</v>
      </c>
      <c r="AD13" s="10">
        <v>2050</v>
      </c>
    </row>
    <row r="14" spans="1:30" x14ac:dyDescent="0.25">
      <c r="A14" s="5" t="s">
        <v>125</v>
      </c>
      <c r="B14" s="5" t="s">
        <v>135</v>
      </c>
      <c r="C14" s="5" t="s">
        <v>136</v>
      </c>
      <c r="D14" s="5"/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>
        <v>1</v>
      </c>
      <c r="K14" s="9">
        <v>1</v>
      </c>
      <c r="L14" s="9">
        <v>1</v>
      </c>
      <c r="M14" s="9">
        <v>1</v>
      </c>
      <c r="N14" s="9">
        <v>1</v>
      </c>
      <c r="O14" s="9">
        <v>1</v>
      </c>
      <c r="P14" s="9">
        <v>1</v>
      </c>
      <c r="Q14" s="9">
        <v>1</v>
      </c>
      <c r="R14" s="9">
        <v>1</v>
      </c>
      <c r="S14" s="9">
        <v>1</v>
      </c>
      <c r="T14" s="9">
        <v>1</v>
      </c>
      <c r="U14" s="9">
        <v>1</v>
      </c>
      <c r="V14" s="9">
        <v>1</v>
      </c>
      <c r="W14" s="9">
        <v>1</v>
      </c>
      <c r="X14" s="9">
        <v>1</v>
      </c>
      <c r="Y14" s="9">
        <v>1</v>
      </c>
      <c r="Z14" s="9">
        <v>1</v>
      </c>
      <c r="AA14" s="9">
        <v>1</v>
      </c>
      <c r="AB14" s="9">
        <v>1</v>
      </c>
      <c r="AC14" s="9">
        <v>1</v>
      </c>
      <c r="AD14" s="9">
        <v>1</v>
      </c>
    </row>
    <row r="16" spans="1:30" x14ac:dyDescent="0.25">
      <c r="A16" s="4" t="s">
        <v>126</v>
      </c>
      <c r="B16" s="4" t="s">
        <v>94</v>
      </c>
      <c r="C16" s="4"/>
      <c r="D16" s="4" t="s">
        <v>2</v>
      </c>
      <c r="E16" s="10">
        <v>2025</v>
      </c>
      <c r="F16" s="10">
        <v>2026</v>
      </c>
      <c r="G16" s="10">
        <v>2027</v>
      </c>
      <c r="H16" s="10">
        <v>2028</v>
      </c>
      <c r="I16" s="10">
        <v>2029</v>
      </c>
      <c r="J16" s="10">
        <v>2030</v>
      </c>
      <c r="K16" s="10">
        <v>2031</v>
      </c>
      <c r="L16" s="10">
        <v>2032</v>
      </c>
      <c r="M16" s="10">
        <v>2033</v>
      </c>
      <c r="N16" s="10">
        <v>2034</v>
      </c>
      <c r="O16" s="10">
        <v>2035</v>
      </c>
      <c r="P16" s="10">
        <v>2036</v>
      </c>
      <c r="Q16" s="10">
        <v>2037</v>
      </c>
      <c r="R16" s="10">
        <v>2038</v>
      </c>
      <c r="S16" s="10">
        <v>2039</v>
      </c>
      <c r="T16" s="10">
        <v>2040</v>
      </c>
      <c r="U16" s="10">
        <v>2041</v>
      </c>
      <c r="V16" s="10">
        <v>2042</v>
      </c>
      <c r="W16" s="10">
        <v>2043</v>
      </c>
      <c r="X16" s="10">
        <v>2044</v>
      </c>
      <c r="Y16" s="10">
        <v>2045</v>
      </c>
      <c r="Z16" s="10">
        <v>2046</v>
      </c>
      <c r="AA16" s="10">
        <v>2047</v>
      </c>
      <c r="AB16" s="10">
        <v>2048</v>
      </c>
      <c r="AC16" s="10">
        <v>2049</v>
      </c>
      <c r="AD16" s="10">
        <v>2050</v>
      </c>
    </row>
    <row r="17" spans="1:30" x14ac:dyDescent="0.25">
      <c r="A17" s="5" t="s">
        <v>127</v>
      </c>
      <c r="B17" s="5" t="s">
        <v>111</v>
      </c>
      <c r="C17" s="5" t="s">
        <v>99</v>
      </c>
      <c r="D17" s="5"/>
      <c r="E17" s="9">
        <v>1</v>
      </c>
      <c r="F17" s="9">
        <v>1</v>
      </c>
      <c r="G17" s="9">
        <v>1</v>
      </c>
      <c r="H17" s="9">
        <v>1</v>
      </c>
      <c r="I17" s="9">
        <v>1</v>
      </c>
      <c r="J17" s="9">
        <v>1</v>
      </c>
      <c r="K17" s="9">
        <v>1</v>
      </c>
      <c r="L17" s="9">
        <v>1</v>
      </c>
      <c r="M17" s="9">
        <v>1</v>
      </c>
      <c r="N17" s="9">
        <v>1</v>
      </c>
      <c r="O17" s="9">
        <v>1</v>
      </c>
      <c r="P17" s="9">
        <v>1</v>
      </c>
      <c r="Q17" s="9">
        <v>1</v>
      </c>
      <c r="R17" s="9">
        <v>1</v>
      </c>
      <c r="S17" s="9">
        <v>1</v>
      </c>
      <c r="T17" s="9">
        <v>1</v>
      </c>
      <c r="U17" s="9">
        <v>1</v>
      </c>
      <c r="V17" s="9">
        <v>1</v>
      </c>
      <c r="W17" s="9">
        <v>1</v>
      </c>
      <c r="X17" s="9">
        <v>1</v>
      </c>
      <c r="Y17" s="9">
        <v>1</v>
      </c>
      <c r="Z17" s="9">
        <v>1</v>
      </c>
      <c r="AA17" s="9">
        <v>1</v>
      </c>
      <c r="AB17" s="9">
        <v>1</v>
      </c>
      <c r="AC17" s="9">
        <v>1</v>
      </c>
      <c r="AD17" s="9">
        <v>1</v>
      </c>
    </row>
    <row r="19" spans="1:30" x14ac:dyDescent="0.25">
      <c r="A19" s="4" t="s">
        <v>59</v>
      </c>
      <c r="B19" s="4" t="s">
        <v>94</v>
      </c>
      <c r="C19" s="4"/>
      <c r="D19" s="4" t="s">
        <v>2</v>
      </c>
      <c r="E19" s="10">
        <v>2025</v>
      </c>
      <c r="F19" s="10">
        <v>2026</v>
      </c>
      <c r="G19" s="10">
        <v>2027</v>
      </c>
      <c r="H19" s="10">
        <v>2028</v>
      </c>
      <c r="I19" s="10">
        <v>2029</v>
      </c>
      <c r="J19" s="10">
        <v>2030</v>
      </c>
      <c r="K19" s="10">
        <v>2031</v>
      </c>
      <c r="L19" s="10">
        <v>2032</v>
      </c>
      <c r="M19" s="10">
        <v>2033</v>
      </c>
      <c r="N19" s="10">
        <v>2034</v>
      </c>
      <c r="O19" s="10">
        <v>2035</v>
      </c>
      <c r="P19" s="10">
        <v>2036</v>
      </c>
      <c r="Q19" s="10">
        <v>2037</v>
      </c>
      <c r="R19" s="10">
        <v>2038</v>
      </c>
      <c r="S19" s="10">
        <v>2039</v>
      </c>
      <c r="T19" s="10">
        <v>2040</v>
      </c>
      <c r="U19" s="10">
        <v>2041</v>
      </c>
      <c r="V19" s="10">
        <v>2042</v>
      </c>
      <c r="W19" s="10">
        <v>2043</v>
      </c>
      <c r="X19" s="10">
        <v>2044</v>
      </c>
      <c r="Y19" s="10">
        <v>2045</v>
      </c>
      <c r="Z19" s="10">
        <v>2046</v>
      </c>
      <c r="AA19" s="10">
        <v>2047</v>
      </c>
      <c r="AB19" s="10">
        <v>2048</v>
      </c>
      <c r="AC19" s="10">
        <v>2049</v>
      </c>
      <c r="AD19" s="10">
        <v>2050</v>
      </c>
    </row>
    <row r="20" spans="1:30" x14ac:dyDescent="0.25">
      <c r="A20" s="5" t="s">
        <v>60</v>
      </c>
      <c r="B20" s="5" t="s">
        <v>120</v>
      </c>
      <c r="C20" s="5" t="s">
        <v>99</v>
      </c>
      <c r="D20" s="5"/>
      <c r="E20" s="9">
        <v>1</v>
      </c>
      <c r="F20" s="9">
        <v>1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9">
        <v>1</v>
      </c>
      <c r="N20" s="9">
        <v>1</v>
      </c>
      <c r="O20" s="9">
        <v>1</v>
      </c>
      <c r="P20" s="9">
        <v>1</v>
      </c>
      <c r="Q20" s="9">
        <v>1</v>
      </c>
      <c r="R20" s="9">
        <v>1</v>
      </c>
      <c r="S20" s="9">
        <v>1</v>
      </c>
      <c r="T20" s="9">
        <v>1</v>
      </c>
      <c r="U20" s="9">
        <v>1</v>
      </c>
      <c r="V20" s="9">
        <v>1</v>
      </c>
      <c r="W20" s="9">
        <v>1</v>
      </c>
      <c r="X20" s="9">
        <v>1</v>
      </c>
      <c r="Y20" s="9">
        <v>1</v>
      </c>
      <c r="Z20" s="9">
        <v>1</v>
      </c>
      <c r="AA20" s="9">
        <v>1</v>
      </c>
      <c r="AB20" s="9">
        <v>1</v>
      </c>
      <c r="AC20" s="9">
        <v>1</v>
      </c>
      <c r="AD20" s="9">
        <v>1</v>
      </c>
    </row>
    <row r="22" spans="1:30" x14ac:dyDescent="0.25">
      <c r="A22" s="4" t="s">
        <v>53</v>
      </c>
      <c r="B22" s="4" t="s">
        <v>94</v>
      </c>
      <c r="C22" s="4"/>
      <c r="D22" s="4" t="s">
        <v>2</v>
      </c>
      <c r="E22" s="10">
        <v>2025</v>
      </c>
      <c r="F22" s="10">
        <v>2026</v>
      </c>
      <c r="G22" s="10">
        <v>2027</v>
      </c>
      <c r="H22" s="10">
        <v>2028</v>
      </c>
      <c r="I22" s="10">
        <v>2029</v>
      </c>
      <c r="J22" s="10">
        <v>2030</v>
      </c>
      <c r="K22" s="10">
        <v>2031</v>
      </c>
      <c r="L22" s="10">
        <v>2032</v>
      </c>
      <c r="M22" s="10">
        <v>2033</v>
      </c>
      <c r="N22" s="10">
        <v>2034</v>
      </c>
      <c r="O22" s="10">
        <v>2035</v>
      </c>
      <c r="P22" s="10">
        <v>2036</v>
      </c>
      <c r="Q22" s="10">
        <v>2037</v>
      </c>
      <c r="R22" s="10">
        <v>2038</v>
      </c>
      <c r="S22" s="10">
        <v>2039</v>
      </c>
      <c r="T22" s="10">
        <v>2040</v>
      </c>
      <c r="U22" s="10">
        <v>2041</v>
      </c>
      <c r="V22" s="10">
        <v>2042</v>
      </c>
      <c r="W22" s="10">
        <v>2043</v>
      </c>
      <c r="X22" s="10">
        <v>2044</v>
      </c>
      <c r="Y22" s="10">
        <v>2045</v>
      </c>
      <c r="Z22" s="10">
        <v>2046</v>
      </c>
      <c r="AA22" s="10">
        <v>2047</v>
      </c>
      <c r="AB22" s="10">
        <v>2048</v>
      </c>
      <c r="AC22" s="10">
        <v>2049</v>
      </c>
      <c r="AD22" s="10">
        <v>2050</v>
      </c>
    </row>
    <row r="23" spans="1:30" x14ac:dyDescent="0.25">
      <c r="A23" s="5" t="s">
        <v>128</v>
      </c>
      <c r="B23" s="5" t="s">
        <v>114</v>
      </c>
      <c r="C23" s="5" t="s">
        <v>105</v>
      </c>
      <c r="D23" s="5"/>
      <c r="E23" s="9">
        <v>1</v>
      </c>
      <c r="F23" s="9">
        <v>1</v>
      </c>
      <c r="G23" s="9">
        <v>1</v>
      </c>
      <c r="H23" s="9">
        <v>1</v>
      </c>
      <c r="I23" s="9">
        <v>1</v>
      </c>
      <c r="J23" s="9">
        <v>1</v>
      </c>
      <c r="K23" s="9">
        <v>1</v>
      </c>
      <c r="L23" s="9">
        <v>1</v>
      </c>
      <c r="M23" s="9">
        <v>1</v>
      </c>
      <c r="N23" s="9">
        <v>1</v>
      </c>
      <c r="O23" s="9">
        <v>1</v>
      </c>
      <c r="P23" s="9">
        <v>1</v>
      </c>
      <c r="Q23" s="9">
        <v>1</v>
      </c>
      <c r="R23" s="9">
        <v>1</v>
      </c>
      <c r="S23" s="9">
        <v>1</v>
      </c>
      <c r="T23" s="9">
        <v>1</v>
      </c>
      <c r="U23" s="9">
        <v>1</v>
      </c>
      <c r="V23" s="9">
        <v>1</v>
      </c>
      <c r="W23" s="9">
        <v>1</v>
      </c>
      <c r="X23" s="9">
        <v>1</v>
      </c>
      <c r="Y23" s="9">
        <v>1</v>
      </c>
      <c r="Z23" s="9">
        <v>1</v>
      </c>
      <c r="AA23" s="9">
        <v>1</v>
      </c>
      <c r="AB23" s="9">
        <v>1</v>
      </c>
      <c r="AC23" s="9">
        <v>1</v>
      </c>
      <c r="AD23" s="9">
        <v>1</v>
      </c>
    </row>
    <row r="24" spans="1:30" x14ac:dyDescent="0.25">
      <c r="A24" s="5" t="s">
        <v>129</v>
      </c>
      <c r="B24" s="5" t="s">
        <v>116</v>
      </c>
      <c r="C24" s="5" t="s">
        <v>105</v>
      </c>
      <c r="D24" s="5"/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9">
        <v>1</v>
      </c>
      <c r="N24" s="9">
        <v>1</v>
      </c>
      <c r="O24" s="9">
        <v>1</v>
      </c>
      <c r="P24" s="9">
        <v>1</v>
      </c>
      <c r="Q24" s="9">
        <v>1</v>
      </c>
      <c r="R24" s="9">
        <v>1</v>
      </c>
      <c r="S24" s="9">
        <v>1</v>
      </c>
      <c r="T24" s="9">
        <v>1</v>
      </c>
      <c r="U24" s="9">
        <v>1</v>
      </c>
      <c r="V24" s="9">
        <v>1</v>
      </c>
      <c r="W24" s="9">
        <v>1</v>
      </c>
      <c r="X24" s="9">
        <v>1</v>
      </c>
      <c r="Y24" s="9">
        <v>1</v>
      </c>
      <c r="Z24" s="9">
        <v>1</v>
      </c>
      <c r="AA24" s="9">
        <v>1</v>
      </c>
      <c r="AB24" s="9">
        <v>1</v>
      </c>
      <c r="AC24" s="9">
        <v>1</v>
      </c>
      <c r="AD24" s="9">
        <v>1</v>
      </c>
    </row>
    <row r="25" spans="1:30" x14ac:dyDescent="0.25">
      <c r="A25" s="5" t="s">
        <v>130</v>
      </c>
      <c r="B25" s="5" t="s">
        <v>117</v>
      </c>
      <c r="C25" s="5" t="s">
        <v>105</v>
      </c>
      <c r="D25" s="5"/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v>1</v>
      </c>
      <c r="R25" s="9">
        <v>1</v>
      </c>
      <c r="S25" s="9">
        <v>1</v>
      </c>
      <c r="T25" s="9">
        <v>1</v>
      </c>
      <c r="U25" s="9">
        <v>1</v>
      </c>
      <c r="V25" s="9">
        <v>1</v>
      </c>
      <c r="W25" s="9">
        <v>1</v>
      </c>
      <c r="X25" s="9">
        <v>1</v>
      </c>
      <c r="Y25" s="9">
        <v>1</v>
      </c>
      <c r="Z25" s="9">
        <v>1</v>
      </c>
      <c r="AA25" s="9">
        <v>1</v>
      </c>
      <c r="AB25" s="9">
        <v>1</v>
      </c>
      <c r="AC25" s="9">
        <v>1</v>
      </c>
      <c r="AD25" s="9">
        <v>1</v>
      </c>
    </row>
    <row r="26" spans="1:30" x14ac:dyDescent="0.25">
      <c r="A26" s="5" t="s">
        <v>131</v>
      </c>
      <c r="B26" s="5" t="s">
        <v>118</v>
      </c>
      <c r="C26" s="5" t="s">
        <v>105</v>
      </c>
      <c r="D26" s="5"/>
      <c r="E26" s="9">
        <v>1</v>
      </c>
      <c r="F26" s="9">
        <v>1</v>
      </c>
      <c r="G26" s="9">
        <v>1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9">
        <v>1</v>
      </c>
      <c r="N26" s="9">
        <v>1</v>
      </c>
      <c r="O26" s="9">
        <v>1</v>
      </c>
      <c r="P26" s="9">
        <v>1</v>
      </c>
      <c r="Q26" s="9">
        <v>1</v>
      </c>
      <c r="R26" s="9">
        <v>1</v>
      </c>
      <c r="S26" s="9">
        <v>1</v>
      </c>
      <c r="T26" s="9">
        <v>1</v>
      </c>
      <c r="U26" s="9">
        <v>1</v>
      </c>
      <c r="V26" s="9">
        <v>1</v>
      </c>
      <c r="W26" s="9">
        <v>1</v>
      </c>
      <c r="X26" s="9">
        <v>1</v>
      </c>
      <c r="Y26" s="9">
        <v>1</v>
      </c>
      <c r="Z26" s="9">
        <v>1</v>
      </c>
      <c r="AA26" s="9">
        <v>1</v>
      </c>
      <c r="AB26" s="9">
        <v>1</v>
      </c>
      <c r="AC26" s="9">
        <v>1</v>
      </c>
      <c r="AD26" s="9">
        <v>1</v>
      </c>
    </row>
    <row r="27" spans="1:30" x14ac:dyDescent="0.25">
      <c r="A27" s="5" t="s">
        <v>132</v>
      </c>
      <c r="B27" s="5" t="s">
        <v>119</v>
      </c>
      <c r="C27" s="5" t="s">
        <v>105</v>
      </c>
      <c r="D27" s="5"/>
      <c r="E27" s="9">
        <v>1</v>
      </c>
      <c r="F27" s="9">
        <v>1</v>
      </c>
      <c r="G27" s="9">
        <v>1</v>
      </c>
      <c r="H27" s="9">
        <v>1</v>
      </c>
      <c r="I27" s="9">
        <v>1</v>
      </c>
      <c r="J27" s="9">
        <v>1</v>
      </c>
      <c r="K27" s="9">
        <v>1</v>
      </c>
      <c r="L27" s="9">
        <v>1</v>
      </c>
      <c r="M27" s="9">
        <v>1</v>
      </c>
      <c r="N27" s="9">
        <v>1</v>
      </c>
      <c r="O27" s="9">
        <v>1</v>
      </c>
      <c r="P27" s="9">
        <v>1</v>
      </c>
      <c r="Q27" s="9">
        <v>1</v>
      </c>
      <c r="R27" s="9">
        <v>1</v>
      </c>
      <c r="S27" s="9">
        <v>1</v>
      </c>
      <c r="T27" s="9">
        <v>1</v>
      </c>
      <c r="U27" s="9">
        <v>1</v>
      </c>
      <c r="V27" s="9">
        <v>1</v>
      </c>
      <c r="W27" s="9">
        <v>1</v>
      </c>
      <c r="X27" s="9">
        <v>1</v>
      </c>
      <c r="Y27" s="9">
        <v>1</v>
      </c>
      <c r="Z27" s="9">
        <v>1</v>
      </c>
      <c r="AA27" s="9">
        <v>1</v>
      </c>
      <c r="AB27" s="9">
        <v>1</v>
      </c>
      <c r="AC27" s="9">
        <v>1</v>
      </c>
      <c r="AD27" s="9">
        <v>1</v>
      </c>
    </row>
    <row r="29" spans="1:30" x14ac:dyDescent="0.25">
      <c r="A29" s="4" t="s">
        <v>133</v>
      </c>
      <c r="B29" s="4" t="s">
        <v>94</v>
      </c>
      <c r="C29" s="4"/>
      <c r="D29" s="4" t="s">
        <v>2</v>
      </c>
      <c r="E29" s="10">
        <v>2025</v>
      </c>
      <c r="F29" s="10">
        <v>2026</v>
      </c>
      <c r="G29" s="10">
        <v>2027</v>
      </c>
      <c r="H29" s="10">
        <v>2028</v>
      </c>
      <c r="I29" s="10">
        <v>2029</v>
      </c>
      <c r="J29" s="10">
        <v>2030</v>
      </c>
      <c r="K29" s="10">
        <v>2031</v>
      </c>
      <c r="L29" s="10">
        <v>2032</v>
      </c>
      <c r="M29" s="10">
        <v>2033</v>
      </c>
      <c r="N29" s="10">
        <v>2034</v>
      </c>
      <c r="O29" s="10">
        <v>2035</v>
      </c>
      <c r="P29" s="10">
        <v>2036</v>
      </c>
      <c r="Q29" s="10">
        <v>2037</v>
      </c>
      <c r="R29" s="10">
        <v>2038</v>
      </c>
      <c r="S29" s="10">
        <v>2039</v>
      </c>
      <c r="T29" s="10">
        <v>2040</v>
      </c>
      <c r="U29" s="10">
        <v>2041</v>
      </c>
      <c r="V29" s="10">
        <v>2042</v>
      </c>
      <c r="W29" s="10">
        <v>2043</v>
      </c>
      <c r="X29" s="10">
        <v>2044</v>
      </c>
      <c r="Y29" s="10">
        <v>2045</v>
      </c>
      <c r="Z29" s="10">
        <v>2046</v>
      </c>
      <c r="AA29" s="10">
        <v>2047</v>
      </c>
      <c r="AB29" s="10">
        <v>2048</v>
      </c>
      <c r="AC29" s="10">
        <v>2049</v>
      </c>
      <c r="AD29" s="10">
        <v>2050</v>
      </c>
    </row>
    <row r="30" spans="1:30" x14ac:dyDescent="0.25">
      <c r="A30" s="5" t="s">
        <v>21</v>
      </c>
      <c r="B30" s="5" t="s">
        <v>85</v>
      </c>
      <c r="C30" s="5" t="s">
        <v>115</v>
      </c>
      <c r="D30" s="5"/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</row>
    <row r="31" spans="1:30" x14ac:dyDescent="0.25">
      <c r="A31" s="5" t="s">
        <v>22</v>
      </c>
      <c r="B31" s="5" t="s">
        <v>86</v>
      </c>
      <c r="C31" s="5" t="s">
        <v>115</v>
      </c>
      <c r="D31" s="5"/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M31" s="9">
        <v>1</v>
      </c>
      <c r="N31" s="9">
        <v>1</v>
      </c>
      <c r="O31" s="9">
        <v>1</v>
      </c>
      <c r="P31" s="9">
        <v>1</v>
      </c>
      <c r="Q31" s="9">
        <v>1</v>
      </c>
      <c r="R31" s="9">
        <v>1</v>
      </c>
      <c r="S31" s="9">
        <v>1</v>
      </c>
      <c r="T31" s="9">
        <v>1</v>
      </c>
      <c r="U31" s="9">
        <v>1</v>
      </c>
      <c r="V31" s="9">
        <v>1</v>
      </c>
      <c r="W31" s="9">
        <v>1</v>
      </c>
      <c r="X31" s="9">
        <v>1</v>
      </c>
      <c r="Y31" s="9">
        <v>1</v>
      </c>
      <c r="Z31" s="9">
        <v>1</v>
      </c>
      <c r="AA31" s="9">
        <v>1</v>
      </c>
      <c r="AB31" s="9">
        <v>1</v>
      </c>
      <c r="AC31" s="9">
        <v>1</v>
      </c>
      <c r="AD31" s="9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</vt:lpstr>
      <vt:lpstr>Sheet1</vt:lpstr>
      <vt:lpstr>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2026-06-02T04:59:38Z</dcterms:modified>
</cp:coreProperties>
</file>